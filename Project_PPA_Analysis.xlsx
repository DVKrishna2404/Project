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msi\OneDrive\Documents\Data_Analysis_Projects\Mini_PPA\"/>
    </mc:Choice>
  </mc:AlternateContent>
  <xr:revisionPtr revIDLastSave="0" documentId="8_{27175EFA-D622-463D-8A01-34C00109D934}" xr6:coauthVersionLast="47" xr6:coauthVersionMax="47" xr10:uidLastSave="{00000000-0000-0000-0000-000000000000}"/>
  <bookViews>
    <workbookView xWindow="144" yWindow="72" windowWidth="22956" windowHeight="12240" xr2:uid="{42E93ECA-35E0-4C19-938A-56BDA33648A8}"/>
  </bookViews>
  <sheets>
    <sheet name="Product_Performance_Data" sheetId="2" r:id="rId1"/>
    <sheet name="Insights" sheetId="4" r:id="rId2"/>
    <sheet name="Pivot Tables" sheetId="5" r:id="rId3"/>
    <sheet name="Rough" sheetId="1" r:id="rId4"/>
  </sheets>
  <definedNames>
    <definedName name="ExternalData_1" localSheetId="0" hidden="1">Product_Performance_Data!$A$1:$G$501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53" i="2" l="1"/>
  <c r="I453" i="2"/>
  <c r="J453" i="2"/>
  <c r="J491" i="2"/>
  <c r="J54" i="4"/>
  <c r="J50" i="4"/>
  <c r="J45" i="4"/>
  <c r="J36" i="4"/>
  <c r="J31" i="4"/>
  <c r="J41" i="4"/>
  <c r="J492" i="2"/>
  <c r="J478" i="2"/>
  <c r="J495" i="2"/>
  <c r="J471" i="2"/>
  <c r="J468" i="2"/>
  <c r="J479" i="2"/>
  <c r="J485" i="2"/>
  <c r="J481" i="2"/>
  <c r="J457" i="2"/>
  <c r="J441" i="2"/>
  <c r="J436" i="2"/>
  <c r="J486" i="2"/>
  <c r="J443" i="2"/>
  <c r="J442" i="2"/>
  <c r="J496" i="2"/>
  <c r="J458" i="2"/>
  <c r="J432" i="2"/>
  <c r="J488" i="2"/>
  <c r="J413" i="2"/>
  <c r="J493" i="2"/>
  <c r="J474" i="2"/>
  <c r="J469" i="2"/>
  <c r="J498" i="2"/>
  <c r="J439" i="2"/>
  <c r="J423" i="2"/>
  <c r="J428" i="2"/>
  <c r="J448" i="2"/>
  <c r="J418" i="2"/>
  <c r="J417" i="2"/>
  <c r="J455" i="2"/>
  <c r="J489" i="2"/>
  <c r="J462" i="2"/>
  <c r="J410" i="2"/>
  <c r="J467" i="2"/>
  <c r="J461" i="2"/>
  <c r="J406" i="2"/>
  <c r="J424" i="2"/>
  <c r="J412" i="2"/>
  <c r="J397" i="2"/>
  <c r="J456" i="2"/>
  <c r="J490" i="2"/>
  <c r="J395" i="2"/>
  <c r="J411" i="2"/>
  <c r="J369" i="2"/>
  <c r="J381" i="2"/>
  <c r="J438" i="2"/>
  <c r="J385" i="2"/>
  <c r="J494" i="2"/>
  <c r="J475" i="2"/>
  <c r="J435" i="2"/>
  <c r="J365" i="2"/>
  <c r="J430" i="2"/>
  <c r="J414" i="2"/>
  <c r="J501" i="2"/>
  <c r="J483" i="2"/>
  <c r="J433" i="2"/>
  <c r="J447" i="2"/>
  <c r="J375" i="2"/>
  <c r="J399" i="2"/>
  <c r="J383" i="2"/>
  <c r="J396" i="2"/>
  <c r="J378" i="2"/>
  <c r="J321" i="2"/>
  <c r="J437" i="2"/>
  <c r="J329" i="2"/>
  <c r="J301" i="2"/>
  <c r="J391" i="2"/>
  <c r="J409" i="2"/>
  <c r="J319" i="2"/>
  <c r="J500" i="2"/>
  <c r="J334" i="2"/>
  <c r="J309" i="2"/>
  <c r="J336" i="2"/>
  <c r="J393" i="2"/>
  <c r="J270" i="2"/>
  <c r="J400" i="2"/>
  <c r="J421" i="2"/>
  <c r="J269" i="2"/>
  <c r="J338" i="2"/>
  <c r="J355" i="2"/>
  <c r="J356" i="2"/>
  <c r="J389" i="2"/>
  <c r="J367" i="2"/>
  <c r="J277" i="2"/>
  <c r="J325" i="2"/>
  <c r="J290" i="2"/>
  <c r="J266" i="2"/>
  <c r="J332" i="2"/>
  <c r="J268" i="2"/>
  <c r="J497" i="2"/>
  <c r="J243" i="2"/>
  <c r="J242" i="2"/>
  <c r="J341" i="2"/>
  <c r="J445" i="2"/>
  <c r="J449" i="2"/>
  <c r="J337" i="2"/>
  <c r="J476" i="2"/>
  <c r="J275" i="2"/>
  <c r="J289" i="2"/>
  <c r="J285" i="2"/>
  <c r="J251" i="2"/>
  <c r="J361" i="2"/>
  <c r="J368" i="2"/>
  <c r="J403" i="2"/>
  <c r="J226" i="2"/>
  <c r="J256" i="2"/>
  <c r="J482" i="2"/>
  <c r="J234" i="2"/>
  <c r="J343" i="2"/>
  <c r="J257" i="2"/>
  <c r="J426" i="2"/>
  <c r="J279" i="2"/>
  <c r="J278" i="2"/>
  <c r="J282" i="2"/>
  <c r="J422" i="2"/>
  <c r="J286" i="2"/>
  <c r="J232" i="2"/>
  <c r="J419" i="2"/>
  <c r="J223" i="2"/>
  <c r="J452" i="2"/>
  <c r="J264" i="2"/>
  <c r="J392" i="2"/>
  <c r="J379" i="2"/>
  <c r="J350" i="2"/>
  <c r="J373" i="2"/>
  <c r="J465" i="2"/>
  <c r="J217" i="2"/>
  <c r="J330" i="2"/>
  <c r="J280" i="2"/>
  <c r="J377" i="2"/>
  <c r="J211" i="2"/>
  <c r="J307" i="2"/>
  <c r="J247" i="2"/>
  <c r="J261" i="2"/>
  <c r="J210" i="2"/>
  <c r="J431" i="2"/>
  <c r="J294" i="2"/>
  <c r="J310" i="2"/>
  <c r="J394" i="2"/>
  <c r="J339" i="2"/>
  <c r="J313" i="2"/>
  <c r="J318" i="2"/>
  <c r="J276" i="2"/>
  <c r="J293" i="2"/>
  <c r="J167" i="2"/>
  <c r="J444" i="2"/>
  <c r="J359" i="2"/>
  <c r="J351" i="2"/>
  <c r="J195" i="2"/>
  <c r="J151" i="2"/>
  <c r="J181" i="2"/>
  <c r="J170" i="2"/>
  <c r="J196" i="2"/>
  <c r="J316" i="2"/>
  <c r="J207" i="2"/>
  <c r="J265" i="2"/>
  <c r="J175" i="2"/>
  <c r="J197" i="2"/>
  <c r="J166" i="2"/>
  <c r="J227" i="2"/>
  <c r="J157" i="2"/>
  <c r="J149" i="2"/>
  <c r="J320" i="2"/>
  <c r="J152" i="2"/>
  <c r="J363" i="2"/>
  <c r="J174" i="2"/>
  <c r="J212" i="2"/>
  <c r="J222" i="2"/>
  <c r="J147" i="2"/>
  <c r="J163" i="2"/>
  <c r="J164" i="2"/>
  <c r="J299" i="2"/>
  <c r="J200" i="2"/>
  <c r="J327" i="2"/>
  <c r="J291" i="2"/>
  <c r="J340" i="2"/>
  <c r="J322" i="2"/>
  <c r="J250" i="2"/>
  <c r="J213" i="2"/>
  <c r="J263" i="2"/>
  <c r="J416" i="2"/>
  <c r="J387" i="2"/>
  <c r="J230" i="2"/>
  <c r="J180" i="2"/>
  <c r="J371" i="2"/>
  <c r="J198" i="2"/>
  <c r="J128" i="2"/>
  <c r="J209" i="2"/>
  <c r="J204" i="2"/>
  <c r="J168" i="2"/>
  <c r="J402" i="2"/>
  <c r="J154" i="2"/>
  <c r="J194" i="2"/>
  <c r="J199" i="2"/>
  <c r="J134" i="2"/>
  <c r="J219" i="2"/>
  <c r="J358" i="2"/>
  <c r="J112" i="2"/>
  <c r="J183" i="2"/>
  <c r="J186" i="2"/>
  <c r="J233" i="2"/>
  <c r="J267" i="2"/>
  <c r="J271" i="2"/>
  <c r="J344" i="2"/>
  <c r="J177" i="2"/>
  <c r="J384" i="2"/>
  <c r="J244" i="2"/>
  <c r="J138" i="2"/>
  <c r="J480" i="2"/>
  <c r="J106" i="2"/>
  <c r="J155" i="2"/>
  <c r="J296" i="2"/>
  <c r="J218" i="2"/>
  <c r="J228" i="2"/>
  <c r="J323" i="2"/>
  <c r="J136" i="2"/>
  <c r="J113" i="2"/>
  <c r="J193" i="2"/>
  <c r="J466" i="2"/>
  <c r="J225" i="2"/>
  <c r="J142" i="2"/>
  <c r="J140" i="2"/>
  <c r="J460" i="2"/>
  <c r="J229" i="2"/>
  <c r="J189" i="2"/>
  <c r="J324" i="2"/>
  <c r="J150" i="2"/>
  <c r="J352" i="2"/>
  <c r="J238" i="2"/>
  <c r="J156" i="2"/>
  <c r="J78" i="2"/>
  <c r="J85" i="2"/>
  <c r="J98" i="2"/>
  <c r="J94" i="2"/>
  <c r="J386" i="2"/>
  <c r="J348" i="2"/>
  <c r="J111" i="2"/>
  <c r="J382" i="2"/>
  <c r="J333" i="2"/>
  <c r="J81" i="2"/>
  <c r="J122" i="2"/>
  <c r="J95" i="2"/>
  <c r="J119" i="2"/>
  <c r="J246" i="2"/>
  <c r="J135" i="2"/>
  <c r="J99" i="2"/>
  <c r="J429" i="2"/>
  <c r="J499" i="2"/>
  <c r="J245" i="2"/>
  <c r="J252" i="2"/>
  <c r="J104" i="2"/>
  <c r="J364" i="2"/>
  <c r="J353" i="2"/>
  <c r="J231" i="2"/>
  <c r="J201" i="2"/>
  <c r="J360" i="2"/>
  <c r="J239" i="2"/>
  <c r="J451" i="2"/>
  <c r="J63" i="2"/>
  <c r="J450" i="2"/>
  <c r="J115" i="2"/>
  <c r="J72" i="2"/>
  <c r="J349" i="2"/>
  <c r="J162" i="2"/>
  <c r="J287" i="2"/>
  <c r="J255" i="2"/>
  <c r="J459" i="2"/>
  <c r="J137" i="2"/>
  <c r="J144" i="2"/>
  <c r="J464" i="2"/>
  <c r="J139" i="2"/>
  <c r="J169" i="2"/>
  <c r="J328" i="2"/>
  <c r="J376" i="2"/>
  <c r="J117" i="2"/>
  <c r="J84" i="2"/>
  <c r="J440" i="2"/>
  <c r="J312" i="2"/>
  <c r="J173" i="2"/>
  <c r="J281" i="2"/>
  <c r="J87" i="2"/>
  <c r="J380" i="2"/>
  <c r="J103" i="2"/>
  <c r="J125" i="2"/>
  <c r="J74" i="2"/>
  <c r="J372" i="2"/>
  <c r="J306" i="2"/>
  <c r="J91" i="2"/>
  <c r="J472" i="2"/>
  <c r="J302" i="2"/>
  <c r="J398" i="2"/>
  <c r="J86" i="2"/>
  <c r="J342" i="2"/>
  <c r="J79" i="2"/>
  <c r="J59" i="2"/>
  <c r="J46" i="2"/>
  <c r="J240" i="2"/>
  <c r="J237" i="2"/>
  <c r="J172" i="2"/>
  <c r="J132" i="2"/>
  <c r="J214" i="2"/>
  <c r="J206" i="2"/>
  <c r="J49" i="2"/>
  <c r="J220" i="2"/>
  <c r="J284" i="2"/>
  <c r="J258" i="2"/>
  <c r="J97" i="2"/>
  <c r="J470" i="2"/>
  <c r="J82" i="2"/>
  <c r="J347" i="2"/>
  <c r="J101" i="2"/>
  <c r="J48" i="2"/>
  <c r="J89" i="2"/>
  <c r="J67" i="2"/>
  <c r="J390" i="2"/>
  <c r="J362" i="2"/>
  <c r="J187" i="2"/>
  <c r="J75" i="2"/>
  <c r="J308" i="2"/>
  <c r="J253" i="2"/>
  <c r="J315" i="2"/>
  <c r="J370" i="2"/>
  <c r="J53" i="2"/>
  <c r="J388" i="2"/>
  <c r="J259" i="2"/>
  <c r="J202" i="2"/>
  <c r="J203" i="2"/>
  <c r="J262" i="2"/>
  <c r="J273" i="2"/>
  <c r="J283" i="2"/>
  <c r="J38" i="2"/>
  <c r="J300" i="2"/>
  <c r="J260" i="2"/>
  <c r="J77" i="2"/>
  <c r="J118" i="2"/>
  <c r="J179" i="2"/>
  <c r="J188" i="2"/>
  <c r="J446" i="2"/>
  <c r="J133" i="2"/>
  <c r="J158" i="2"/>
  <c r="J274" i="2"/>
  <c r="J215" i="2"/>
  <c r="J311" i="2"/>
  <c r="J366" i="2"/>
  <c r="J105" i="2"/>
  <c r="J434" i="2"/>
  <c r="J326" i="2"/>
  <c r="J32" i="2"/>
  <c r="J141" i="2"/>
  <c r="J123" i="2"/>
  <c r="J35" i="2"/>
  <c r="J120" i="2"/>
  <c r="J127" i="2"/>
  <c r="J29" i="2"/>
  <c r="J96" i="2"/>
  <c r="J191" i="2"/>
  <c r="J36" i="2"/>
  <c r="J184" i="2"/>
  <c r="J146" i="2"/>
  <c r="J69" i="2"/>
  <c r="J26" i="2"/>
  <c r="J76" i="2"/>
  <c r="J121" i="2"/>
  <c r="J93" i="2"/>
  <c r="J145" i="2"/>
  <c r="J374" i="2"/>
  <c r="J298" i="2"/>
  <c r="J83" i="2"/>
  <c r="J224" i="2"/>
  <c r="J317" i="2"/>
  <c r="J288" i="2"/>
  <c r="J185" i="2"/>
  <c r="J236" i="2"/>
  <c r="J463" i="2"/>
  <c r="J54" i="2"/>
  <c r="J404" i="2"/>
  <c r="J454" i="2"/>
  <c r="J357" i="2"/>
  <c r="J34" i="2"/>
  <c r="J205" i="2"/>
  <c r="J335" i="2"/>
  <c r="J407" i="2"/>
  <c r="J31" i="2"/>
  <c r="J64" i="2"/>
  <c r="J171" i="2"/>
  <c r="J108" i="2"/>
  <c r="J66" i="2"/>
  <c r="J473" i="2"/>
  <c r="J131" i="2"/>
  <c r="J124" i="2"/>
  <c r="J70" i="2"/>
  <c r="J346" i="2"/>
  <c r="J126" i="2"/>
  <c r="J47" i="2"/>
  <c r="J427" i="2"/>
  <c r="J80" i="2"/>
  <c r="J62" i="2"/>
  <c r="J160" i="2"/>
  <c r="J420" i="2"/>
  <c r="J153" i="2"/>
  <c r="J52" i="2"/>
  <c r="J33" i="2"/>
  <c r="J109" i="2"/>
  <c r="J354" i="2"/>
  <c r="J44" i="2"/>
  <c r="J304" i="2"/>
  <c r="J28" i="2"/>
  <c r="J15" i="2"/>
  <c r="J39" i="2"/>
  <c r="J13" i="2"/>
  <c r="J61" i="2"/>
  <c r="J30" i="2"/>
  <c r="J221" i="2"/>
  <c r="J148" i="2"/>
  <c r="J110" i="2"/>
  <c r="J114" i="2"/>
  <c r="J20" i="2"/>
  <c r="J40" i="2"/>
  <c r="J165" i="2"/>
  <c r="J159" i="2"/>
  <c r="J41" i="2"/>
  <c r="J11" i="2"/>
  <c r="J129" i="2"/>
  <c r="J10" i="2"/>
  <c r="J408" i="2"/>
  <c r="J401" i="2"/>
  <c r="J314" i="2"/>
  <c r="J295" i="2"/>
  <c r="J297" i="2"/>
  <c r="J107" i="2"/>
  <c r="J43" i="2"/>
  <c r="J92" i="2"/>
  <c r="J292" i="2"/>
  <c r="J208" i="2"/>
  <c r="J17" i="2"/>
  <c r="J55" i="2"/>
  <c r="J176" i="2"/>
  <c r="J42" i="2"/>
  <c r="J345" i="2"/>
  <c r="J216" i="2"/>
  <c r="J303" i="2"/>
  <c r="J241" i="2"/>
  <c r="J487" i="2"/>
  <c r="J182" i="2"/>
  <c r="J25" i="2"/>
  <c r="J192" i="2"/>
  <c r="J68" i="2"/>
  <c r="J477" i="2"/>
  <c r="J45" i="2"/>
  <c r="J22" i="2"/>
  <c r="J102" i="2"/>
  <c r="J37" i="2"/>
  <c r="J116" i="2"/>
  <c r="J249" i="2"/>
  <c r="J161" i="2"/>
  <c r="J50" i="2"/>
  <c r="J19" i="2"/>
  <c r="J90" i="2"/>
  <c r="J23" i="2"/>
  <c r="J56" i="2"/>
  <c r="J178" i="2"/>
  <c r="J58" i="2"/>
  <c r="J21" i="2"/>
  <c r="J235" i="2"/>
  <c r="J27" i="2"/>
  <c r="J60" i="2"/>
  <c r="J405" i="2"/>
  <c r="J484" i="2"/>
  <c r="J7" i="2"/>
  <c r="J272" i="2"/>
  <c r="J24" i="2"/>
  <c r="J100" i="2"/>
  <c r="J14" i="2"/>
  <c r="J88" i="2"/>
  <c r="J73" i="2"/>
  <c r="J4" i="2"/>
  <c r="J415" i="2"/>
  <c r="J18" i="2"/>
  <c r="J3" i="2"/>
  <c r="J51" i="2"/>
  <c r="J71" i="2"/>
  <c r="J305" i="2"/>
  <c r="J5" i="2"/>
  <c r="J57" i="2"/>
  <c r="J16" i="2"/>
  <c r="J6" i="2"/>
  <c r="J12" i="2"/>
  <c r="J130" i="2"/>
  <c r="J8" i="2"/>
  <c r="J2" i="2"/>
  <c r="J254" i="2"/>
  <c r="J248" i="2"/>
  <c r="J9" i="2"/>
  <c r="J143" i="2"/>
  <c r="J65" i="2"/>
  <c r="J425" i="2"/>
  <c r="J331" i="2"/>
  <c r="J190" i="2"/>
  <c r="I54" i="4"/>
  <c r="H54" i="4"/>
  <c r="I50" i="4"/>
  <c r="H50" i="4"/>
  <c r="I45" i="4"/>
  <c r="H45" i="4"/>
  <c r="I41" i="4"/>
  <c r="H41" i="4"/>
  <c r="I36" i="4"/>
  <c r="H36" i="4"/>
  <c r="I31" i="4"/>
  <c r="H31" i="4"/>
  <c r="H449" i="2"/>
  <c r="H179" i="2"/>
  <c r="H164" i="2"/>
  <c r="H379" i="2"/>
  <c r="H431" i="2"/>
  <c r="H444" i="2"/>
  <c r="H43" i="2"/>
  <c r="H500" i="2"/>
  <c r="H93" i="2"/>
  <c r="H380" i="2"/>
  <c r="H294" i="2"/>
  <c r="H344" i="2"/>
  <c r="H350" i="2"/>
  <c r="H187" i="2"/>
  <c r="H490" i="2"/>
  <c r="H495" i="2"/>
  <c r="H388" i="2"/>
  <c r="H266" i="2"/>
  <c r="H406" i="2"/>
  <c r="H402" i="2"/>
  <c r="H423" i="2"/>
  <c r="H192" i="2"/>
  <c r="H436" i="2"/>
  <c r="H240" i="2"/>
  <c r="H228" i="2"/>
  <c r="H188" i="2"/>
  <c r="H195" i="2"/>
  <c r="H393" i="2"/>
  <c r="H248" i="2"/>
  <c r="H10" i="2"/>
  <c r="H208" i="2"/>
  <c r="H419" i="2"/>
  <c r="H458" i="2"/>
  <c r="H339" i="2"/>
  <c r="H464" i="2"/>
  <c r="H351" i="2"/>
  <c r="H40" i="2"/>
  <c r="H211" i="2"/>
  <c r="H51" i="2"/>
  <c r="H225" i="2"/>
  <c r="H401" i="2"/>
  <c r="H332" i="2"/>
  <c r="H186" i="2"/>
  <c r="H146" i="2"/>
  <c r="H334" i="2"/>
  <c r="H301" i="2"/>
  <c r="H16" i="2"/>
  <c r="H298" i="2"/>
  <c r="H413" i="2"/>
  <c r="H194" i="2"/>
  <c r="H106" i="2"/>
  <c r="H104" i="2"/>
  <c r="H223" i="2"/>
  <c r="H325" i="2"/>
  <c r="H456" i="2"/>
  <c r="H138" i="2"/>
  <c r="H141" i="2"/>
  <c r="H489" i="2"/>
  <c r="H90" i="2"/>
  <c r="H136" i="2"/>
  <c r="H278" i="2"/>
  <c r="H501" i="2"/>
  <c r="H277" i="2"/>
  <c r="H272" i="2"/>
  <c r="H262" i="2"/>
  <c r="H239" i="2"/>
  <c r="H118" i="2"/>
  <c r="H296" i="2"/>
  <c r="H463" i="2"/>
  <c r="H469" i="2"/>
  <c r="H91" i="2"/>
  <c r="H400" i="2"/>
  <c r="H378" i="2"/>
  <c r="H166" i="2"/>
  <c r="H430" i="2"/>
  <c r="H483" i="2"/>
  <c r="H318" i="2"/>
  <c r="H2" i="2"/>
  <c r="H356" i="2"/>
  <c r="H481" i="2"/>
  <c r="H126" i="2"/>
  <c r="H39" i="2"/>
  <c r="H149" i="2"/>
  <c r="H460" i="2"/>
  <c r="H300" i="2"/>
  <c r="H498" i="2"/>
  <c r="H4" i="2"/>
  <c r="H68" i="2"/>
  <c r="H217" i="2"/>
  <c r="H485" i="2"/>
  <c r="H484" i="2"/>
  <c r="H245" i="2"/>
  <c r="H169" i="2"/>
  <c r="H366" i="2"/>
  <c r="H75" i="2"/>
  <c r="H14" i="2"/>
  <c r="H88" i="2"/>
  <c r="H42" i="2"/>
  <c r="H202" i="2"/>
  <c r="H44" i="2"/>
  <c r="H133" i="2"/>
  <c r="H342" i="2"/>
  <c r="H437" i="2"/>
  <c r="H13" i="2"/>
  <c r="H221" i="2"/>
  <c r="H53" i="2"/>
  <c r="H30" i="2"/>
  <c r="H260" i="2"/>
  <c r="H341" i="2"/>
  <c r="H307" i="2"/>
  <c r="H275" i="2"/>
  <c r="H340" i="2"/>
  <c r="H432" i="2"/>
  <c r="H253" i="2"/>
  <c r="H207" i="2"/>
  <c r="H77" i="2"/>
  <c r="H180" i="2"/>
  <c r="H215" i="2"/>
  <c r="H175" i="2"/>
  <c r="H465" i="2"/>
  <c r="H119" i="2"/>
  <c r="H35" i="2"/>
  <c r="H363" i="2"/>
  <c r="H24" i="2"/>
  <c r="H488" i="2"/>
  <c r="H271" i="2"/>
  <c r="H71" i="2"/>
  <c r="H440" i="2"/>
  <c r="H384" i="2"/>
  <c r="H472" i="2"/>
  <c r="H79" i="2"/>
  <c r="H404" i="2"/>
  <c r="H321" i="2"/>
  <c r="H232" i="2"/>
  <c r="H172" i="2"/>
  <c r="H176" i="2"/>
  <c r="H372" i="2"/>
  <c r="H279" i="2"/>
  <c r="H158" i="2"/>
  <c r="H407" i="2"/>
  <c r="H426" i="2"/>
  <c r="H250" i="2"/>
  <c r="H162" i="2"/>
  <c r="H246" i="2"/>
  <c r="H198" i="2"/>
  <c r="H310" i="2"/>
  <c r="H433" i="2"/>
  <c r="H448" i="2"/>
  <c r="H18" i="2"/>
  <c r="H107" i="2"/>
  <c r="H353" i="2"/>
  <c r="H415" i="2"/>
  <c r="H446" i="2"/>
  <c r="H386" i="2"/>
  <c r="H333" i="2"/>
  <c r="H369" i="2"/>
  <c r="H365" i="2"/>
  <c r="H48" i="2"/>
  <c r="H451" i="2"/>
  <c r="H476" i="2"/>
  <c r="H73" i="2"/>
  <c r="H160" i="2"/>
  <c r="H383" i="2"/>
  <c r="H27" i="2"/>
  <c r="H12" i="2"/>
  <c r="H331" i="2"/>
  <c r="H417" i="2"/>
  <c r="H34" i="2"/>
  <c r="H117" i="2"/>
  <c r="H26" i="2"/>
  <c r="H57" i="2"/>
  <c r="H32" i="2"/>
  <c r="H41" i="2"/>
  <c r="H55" i="2"/>
  <c r="H11" i="2"/>
  <c r="H244" i="2"/>
  <c r="H285" i="2"/>
  <c r="H168" i="2"/>
  <c r="H477" i="2"/>
  <c r="H429" i="2"/>
  <c r="H201" i="2"/>
  <c r="H256" i="2"/>
  <c r="H214" i="2"/>
  <c r="H17" i="2"/>
  <c r="H25" i="2"/>
  <c r="H343" i="2"/>
  <c r="H249" i="2"/>
  <c r="H470" i="2"/>
  <c r="H174" i="2"/>
  <c r="H121" i="2"/>
  <c r="H98" i="2"/>
  <c r="H263" i="2"/>
  <c r="H69" i="2"/>
  <c r="H286" i="2"/>
  <c r="H181" i="2"/>
  <c r="H155" i="2"/>
  <c r="H392" i="2"/>
  <c r="H219" i="2"/>
  <c r="H398" i="2"/>
  <c r="H31" i="2"/>
  <c r="H47" i="2"/>
  <c r="H114" i="2"/>
  <c r="H171" i="2"/>
  <c r="H274" i="2"/>
  <c r="H257" i="2"/>
  <c r="H199" i="2"/>
  <c r="H352" i="2"/>
  <c r="H411" i="2"/>
  <c r="H450" i="2"/>
  <c r="H218" i="2"/>
  <c r="H304" i="2"/>
  <c r="H8" i="2"/>
  <c r="H125" i="2"/>
  <c r="H359" i="2"/>
  <c r="H499" i="2"/>
  <c r="H21" i="2"/>
  <c r="H56" i="2"/>
  <c r="H264" i="2"/>
  <c r="H127" i="2"/>
  <c r="H412" i="2"/>
  <c r="H269" i="2"/>
  <c r="H289" i="2"/>
  <c r="H210" i="2"/>
  <c r="H425" i="2"/>
  <c r="H96" i="2"/>
  <c r="H230" i="2"/>
  <c r="H205" i="2"/>
  <c r="H23" i="2"/>
  <c r="H3" i="2"/>
  <c r="H455" i="2"/>
  <c r="H204" i="2"/>
  <c r="H399" i="2"/>
  <c r="H316" i="2"/>
  <c r="H355" i="2"/>
  <c r="H283" i="2"/>
  <c r="H371" i="2"/>
  <c r="H403" i="2"/>
  <c r="H330" i="2"/>
  <c r="H299" i="2"/>
  <c r="H373" i="2"/>
  <c r="H94" i="2"/>
  <c r="H442" i="2"/>
  <c r="H261" i="2"/>
  <c r="H112" i="2"/>
  <c r="H89" i="2"/>
  <c r="H377" i="2"/>
  <c r="H409" i="2"/>
  <c r="H397" i="2"/>
  <c r="H100" i="2"/>
  <c r="H267" i="2"/>
  <c r="H132" i="2"/>
  <c r="H178" i="2"/>
  <c r="H395" i="2"/>
  <c r="H241" i="2"/>
  <c r="H87" i="2"/>
  <c r="H421" i="2"/>
  <c r="H183" i="2"/>
  <c r="H62" i="2"/>
  <c r="H78" i="2"/>
  <c r="H9" i="2"/>
  <c r="H291" i="2"/>
  <c r="H66" i="2"/>
  <c r="H209" i="2"/>
  <c r="H122" i="2"/>
  <c r="H302" i="2"/>
  <c r="H410" i="2"/>
  <c r="H496" i="2"/>
  <c r="H319" i="2"/>
  <c r="H479" i="2"/>
  <c r="H424" i="2"/>
  <c r="H123" i="2"/>
  <c r="H287" i="2"/>
  <c r="H131" i="2"/>
  <c r="H19" i="2"/>
  <c r="H220" i="2"/>
  <c r="H185" i="2"/>
  <c r="H346" i="2"/>
  <c r="H213" i="2"/>
  <c r="H282" i="2"/>
  <c r="H243" i="2"/>
  <c r="H452" i="2"/>
  <c r="H247" i="2"/>
  <c r="H445" i="2"/>
  <c r="H487" i="2"/>
  <c r="H70" i="2"/>
  <c r="H474" i="2"/>
  <c r="H280" i="2"/>
  <c r="H441" i="2"/>
  <c r="H135" i="2"/>
  <c r="H324" i="2"/>
  <c r="H159" i="2"/>
  <c r="H313" i="2"/>
  <c r="H61" i="2"/>
  <c r="H305" i="2"/>
  <c r="H494" i="2"/>
  <c r="H52" i="2"/>
  <c r="H97" i="2"/>
  <c r="H156" i="2"/>
  <c r="H177" i="2"/>
  <c r="H153" i="2"/>
  <c r="H273" i="2"/>
  <c r="H28" i="2"/>
  <c r="H116" i="2"/>
  <c r="H308" i="2"/>
  <c r="H254" i="2"/>
  <c r="H362" i="2"/>
  <c r="H203" i="2"/>
  <c r="H103" i="2"/>
  <c r="H435" i="2"/>
  <c r="H236" i="2"/>
  <c r="H84" i="2"/>
  <c r="H113" i="2"/>
  <c r="H50" i="2"/>
  <c r="H394" i="2"/>
  <c r="H63" i="2"/>
  <c r="H36" i="2"/>
  <c r="H109" i="2"/>
  <c r="H142" i="2"/>
  <c r="H314" i="2"/>
  <c r="H80" i="2"/>
  <c r="H467" i="2"/>
  <c r="H493" i="2"/>
  <c r="H315" i="2"/>
  <c r="H320" i="2"/>
  <c r="H337" i="2"/>
  <c r="H237" i="2"/>
  <c r="H197" i="2"/>
  <c r="H139" i="2"/>
  <c r="H140" i="2"/>
  <c r="H49" i="2"/>
  <c r="H134" i="2"/>
  <c r="H184" i="2"/>
  <c r="H389" i="2"/>
  <c r="H29" i="2"/>
  <c r="H233" i="2"/>
  <c r="H303" i="2"/>
  <c r="H360" i="2"/>
  <c r="H6" i="2"/>
  <c r="H101" i="2"/>
  <c r="H251" i="2"/>
  <c r="H110" i="2"/>
  <c r="H157" i="2"/>
  <c r="H152" i="2"/>
  <c r="H443" i="2"/>
  <c r="H173" i="2"/>
  <c r="H255" i="2"/>
  <c r="H163" i="2"/>
  <c r="H45" i="2"/>
  <c r="H329" i="2"/>
  <c r="H151" i="2"/>
  <c r="H167" i="2"/>
  <c r="H414" i="2"/>
  <c r="H85" i="2"/>
  <c r="H326" i="2"/>
  <c r="H231" i="2"/>
  <c r="H270" i="2"/>
  <c r="H322" i="2"/>
  <c r="H492" i="2"/>
  <c r="H216" i="2"/>
  <c r="H381" i="2"/>
  <c r="H347" i="2"/>
  <c r="H143" i="2"/>
  <c r="H144" i="2"/>
  <c r="H58" i="2"/>
  <c r="H234" i="2"/>
  <c r="H491" i="2"/>
  <c r="H72" i="2"/>
  <c r="H224" i="2"/>
  <c r="H462" i="2"/>
  <c r="H336" i="2"/>
  <c r="H391" i="2"/>
  <c r="H434" i="2"/>
  <c r="H297" i="2"/>
  <c r="H473" i="2"/>
  <c r="H486" i="2"/>
  <c r="H345" i="2"/>
  <c r="H212" i="2"/>
  <c r="H154" i="2"/>
  <c r="H447" i="2"/>
  <c r="H335" i="2"/>
  <c r="H367" i="2"/>
  <c r="H348" i="2"/>
  <c r="H408" i="2"/>
  <c r="H475" i="2"/>
  <c r="H137" i="2"/>
  <c r="H226" i="2"/>
  <c r="H227" i="2"/>
  <c r="H189" i="2"/>
  <c r="H222" i="2"/>
  <c r="H38" i="2"/>
  <c r="H238" i="2"/>
  <c r="H206" i="2"/>
  <c r="H357" i="2"/>
  <c r="H74" i="2"/>
  <c r="H284" i="2"/>
  <c r="H306" i="2"/>
  <c r="H416" i="2"/>
  <c r="H265" i="2"/>
  <c r="H102" i="2"/>
  <c r="H390" i="2"/>
  <c r="H422" i="2"/>
  <c r="H99" i="2"/>
  <c r="H170" i="2"/>
  <c r="H7" i="2"/>
  <c r="H468" i="2"/>
  <c r="H361" i="2"/>
  <c r="H200" i="2"/>
  <c r="H111" i="2"/>
  <c r="H292" i="2"/>
  <c r="H385" i="2"/>
  <c r="H15" i="2"/>
  <c r="H418" i="2"/>
  <c r="H295" i="2"/>
  <c r="H428" i="2"/>
  <c r="H457" i="2"/>
  <c r="H191" i="2"/>
  <c r="H190" i="2"/>
  <c r="H22" i="2"/>
  <c r="H59" i="2"/>
  <c r="H81" i="2"/>
  <c r="H471" i="2"/>
  <c r="H130" i="2"/>
  <c r="H382" i="2"/>
  <c r="H288" i="2"/>
  <c r="H148" i="2"/>
  <c r="H83" i="2"/>
  <c r="H459" i="2"/>
  <c r="H150" i="2"/>
  <c r="H129" i="2"/>
  <c r="H242" i="2"/>
  <c r="H5" i="2"/>
  <c r="H145" i="2"/>
  <c r="H364" i="2"/>
  <c r="H454" i="2"/>
  <c r="H115" i="2"/>
  <c r="H76" i="2"/>
  <c r="H427" i="2"/>
  <c r="H252" i="2"/>
  <c r="H60" i="2"/>
  <c r="H293" i="2"/>
  <c r="H82" i="2"/>
  <c r="H327" i="2"/>
  <c r="H466" i="2"/>
  <c r="H312" i="2"/>
  <c r="H281" i="2"/>
  <c r="H268" i="2"/>
  <c r="H105" i="2"/>
  <c r="H438" i="2"/>
  <c r="H309" i="2"/>
  <c r="H478" i="2"/>
  <c r="H396" i="2"/>
  <c r="H229" i="2"/>
  <c r="H67" i="2"/>
  <c r="H33" i="2"/>
  <c r="H375" i="2"/>
  <c r="H92" i="2"/>
  <c r="H108" i="2"/>
  <c r="H358" i="2"/>
  <c r="H405" i="2"/>
  <c r="H65" i="2"/>
  <c r="H497" i="2"/>
  <c r="H387" i="2"/>
  <c r="H235" i="2"/>
  <c r="H317" i="2"/>
  <c r="H439" i="2"/>
  <c r="H420" i="2"/>
  <c r="H165" i="2"/>
  <c r="H124" i="2"/>
  <c r="H354" i="2"/>
  <c r="H20" i="2"/>
  <c r="H290" i="2"/>
  <c r="H482" i="2"/>
  <c r="H259" i="2"/>
  <c r="H161" i="2"/>
  <c r="H276" i="2"/>
  <c r="H258" i="2"/>
  <c r="H311" i="2"/>
  <c r="H193" i="2"/>
  <c r="H374" i="2"/>
  <c r="H37" i="2"/>
  <c r="H370" i="2"/>
  <c r="H328" i="2"/>
  <c r="H323" i="2"/>
  <c r="H46" i="2"/>
  <c r="H147" i="2"/>
  <c r="H128" i="2"/>
  <c r="H349" i="2"/>
  <c r="H461" i="2"/>
  <c r="H368" i="2"/>
  <c r="H376" i="2"/>
  <c r="H480" i="2"/>
  <c r="H196" i="2"/>
  <c r="H54" i="2"/>
  <c r="H120" i="2"/>
  <c r="H338" i="2"/>
  <c r="H182" i="2"/>
  <c r="H95" i="2"/>
  <c r="H64" i="2"/>
  <c r="H86" i="2"/>
  <c r="I449" i="2"/>
  <c r="I179" i="2"/>
  <c r="I164" i="2"/>
  <c r="I379" i="2"/>
  <c r="I431" i="2"/>
  <c r="I444" i="2"/>
  <c r="I43" i="2"/>
  <c r="I500" i="2"/>
  <c r="I93" i="2"/>
  <c r="I380" i="2"/>
  <c r="I294" i="2"/>
  <c r="I344" i="2"/>
  <c r="I350" i="2"/>
  <c r="I187" i="2"/>
  <c r="I490" i="2"/>
  <c r="I495" i="2"/>
  <c r="I388" i="2"/>
  <c r="I266" i="2"/>
  <c r="I406" i="2"/>
  <c r="I402" i="2"/>
  <c r="I423" i="2"/>
  <c r="I192" i="2"/>
  <c r="I436" i="2"/>
  <c r="I240" i="2"/>
  <c r="I228" i="2"/>
  <c r="I188" i="2"/>
  <c r="I195" i="2"/>
  <c r="I393" i="2"/>
  <c r="I248" i="2"/>
  <c r="I10" i="2"/>
  <c r="I208" i="2"/>
  <c r="I419" i="2"/>
  <c r="I458" i="2"/>
  <c r="I339" i="2"/>
  <c r="I464" i="2"/>
  <c r="I351" i="2"/>
  <c r="I40" i="2"/>
  <c r="I211" i="2"/>
  <c r="I51" i="2"/>
  <c r="I225" i="2"/>
  <c r="I401" i="2"/>
  <c r="I332" i="2"/>
  <c r="I186" i="2"/>
  <c r="I146" i="2"/>
  <c r="I334" i="2"/>
  <c r="I301" i="2"/>
  <c r="I16" i="2"/>
  <c r="I298" i="2"/>
  <c r="I413" i="2"/>
  <c r="I194" i="2"/>
  <c r="I106" i="2"/>
  <c r="I104" i="2"/>
  <c r="I223" i="2"/>
  <c r="I325" i="2"/>
  <c r="I456" i="2"/>
  <c r="I138" i="2"/>
  <c r="I141" i="2"/>
  <c r="I489" i="2"/>
  <c r="I90" i="2"/>
  <c r="I136" i="2"/>
  <c r="I278" i="2"/>
  <c r="I501" i="2"/>
  <c r="I277" i="2"/>
  <c r="I272" i="2"/>
  <c r="I262" i="2"/>
  <c r="I239" i="2"/>
  <c r="I118" i="2"/>
  <c r="I296" i="2"/>
  <c r="I463" i="2"/>
  <c r="I469" i="2"/>
  <c r="I91" i="2"/>
  <c r="I400" i="2"/>
  <c r="I378" i="2"/>
  <c r="I166" i="2"/>
  <c r="I430" i="2"/>
  <c r="I483" i="2"/>
  <c r="I318" i="2"/>
  <c r="I2" i="2"/>
  <c r="I356" i="2"/>
  <c r="I481" i="2"/>
  <c r="I126" i="2"/>
  <c r="I39" i="2"/>
  <c r="I149" i="2"/>
  <c r="I460" i="2"/>
  <c r="I300" i="2"/>
  <c r="I498" i="2"/>
  <c r="I4" i="2"/>
  <c r="I68" i="2"/>
  <c r="I217" i="2"/>
  <c r="I485" i="2"/>
  <c r="I484" i="2"/>
  <c r="I245" i="2"/>
  <c r="I169" i="2"/>
  <c r="I366" i="2"/>
  <c r="I75" i="2"/>
  <c r="I14" i="2"/>
  <c r="I88" i="2"/>
  <c r="I42" i="2"/>
  <c r="I202" i="2"/>
  <c r="I44" i="2"/>
  <c r="I133" i="2"/>
  <c r="I342" i="2"/>
  <c r="I437" i="2"/>
  <c r="I13" i="2"/>
  <c r="I221" i="2"/>
  <c r="I53" i="2"/>
  <c r="I30" i="2"/>
  <c r="I260" i="2"/>
  <c r="I341" i="2"/>
  <c r="I307" i="2"/>
  <c r="I275" i="2"/>
  <c r="I340" i="2"/>
  <c r="I432" i="2"/>
  <c r="I253" i="2"/>
  <c r="I207" i="2"/>
  <c r="I77" i="2"/>
  <c r="I180" i="2"/>
  <c r="I215" i="2"/>
  <c r="I175" i="2"/>
  <c r="I465" i="2"/>
  <c r="I119" i="2"/>
  <c r="I35" i="2"/>
  <c r="I363" i="2"/>
  <c r="I24" i="2"/>
  <c r="I488" i="2"/>
  <c r="I271" i="2"/>
  <c r="I71" i="2"/>
  <c r="I440" i="2"/>
  <c r="I384" i="2"/>
  <c r="I472" i="2"/>
  <c r="I79" i="2"/>
  <c r="I404" i="2"/>
  <c r="I321" i="2"/>
  <c r="I232" i="2"/>
  <c r="I172" i="2"/>
  <c r="I176" i="2"/>
  <c r="I372" i="2"/>
  <c r="I279" i="2"/>
  <c r="I158" i="2"/>
  <c r="I407" i="2"/>
  <c r="I426" i="2"/>
  <c r="I250" i="2"/>
  <c r="I162" i="2"/>
  <c r="I246" i="2"/>
  <c r="I198" i="2"/>
  <c r="I310" i="2"/>
  <c r="I433" i="2"/>
  <c r="I448" i="2"/>
  <c r="I18" i="2"/>
  <c r="I107" i="2"/>
  <c r="I353" i="2"/>
  <c r="I415" i="2"/>
  <c r="I446" i="2"/>
  <c r="I386" i="2"/>
  <c r="I333" i="2"/>
  <c r="I369" i="2"/>
  <c r="I365" i="2"/>
  <c r="I48" i="2"/>
  <c r="I451" i="2"/>
  <c r="I476" i="2"/>
  <c r="I73" i="2"/>
  <c r="I160" i="2"/>
  <c r="I383" i="2"/>
  <c r="I27" i="2"/>
  <c r="I12" i="2"/>
  <c r="I331" i="2"/>
  <c r="I417" i="2"/>
  <c r="I34" i="2"/>
  <c r="I117" i="2"/>
  <c r="I26" i="2"/>
  <c r="I57" i="2"/>
  <c r="I32" i="2"/>
  <c r="I41" i="2"/>
  <c r="I55" i="2"/>
  <c r="I11" i="2"/>
  <c r="I244" i="2"/>
  <c r="I285" i="2"/>
  <c r="I168" i="2"/>
  <c r="I477" i="2"/>
  <c r="I429" i="2"/>
  <c r="I201" i="2"/>
  <c r="I256" i="2"/>
  <c r="I214" i="2"/>
  <c r="I17" i="2"/>
  <c r="I25" i="2"/>
  <c r="I343" i="2"/>
  <c r="I249" i="2"/>
  <c r="I470" i="2"/>
  <c r="I174" i="2"/>
  <c r="I121" i="2"/>
  <c r="I98" i="2"/>
  <c r="I263" i="2"/>
  <c r="I69" i="2"/>
  <c r="I286" i="2"/>
  <c r="I181" i="2"/>
  <c r="I155" i="2"/>
  <c r="I392" i="2"/>
  <c r="I219" i="2"/>
  <c r="I398" i="2"/>
  <c r="I31" i="2"/>
  <c r="I47" i="2"/>
  <c r="I114" i="2"/>
  <c r="I171" i="2"/>
  <c r="I274" i="2"/>
  <c r="I257" i="2"/>
  <c r="I199" i="2"/>
  <c r="I352" i="2"/>
  <c r="I411" i="2"/>
  <c r="I450" i="2"/>
  <c r="I218" i="2"/>
  <c r="I304" i="2"/>
  <c r="I8" i="2"/>
  <c r="I125" i="2"/>
  <c r="I359" i="2"/>
  <c r="I499" i="2"/>
  <c r="I21" i="2"/>
  <c r="I56" i="2"/>
  <c r="I264" i="2"/>
  <c r="I127" i="2"/>
  <c r="I412" i="2"/>
  <c r="I269" i="2"/>
  <c r="I289" i="2"/>
  <c r="I210" i="2"/>
  <c r="I425" i="2"/>
  <c r="I96" i="2"/>
  <c r="I230" i="2"/>
  <c r="I205" i="2"/>
  <c r="I23" i="2"/>
  <c r="I3" i="2"/>
  <c r="I455" i="2"/>
  <c r="I204" i="2"/>
  <c r="I399" i="2"/>
  <c r="I316" i="2"/>
  <c r="I355" i="2"/>
  <c r="I283" i="2"/>
  <c r="I371" i="2"/>
  <c r="I403" i="2"/>
  <c r="I330" i="2"/>
  <c r="I299" i="2"/>
  <c r="I373" i="2"/>
  <c r="I94" i="2"/>
  <c r="I442" i="2"/>
  <c r="I261" i="2"/>
  <c r="I112" i="2"/>
  <c r="I89" i="2"/>
  <c r="I377" i="2"/>
  <c r="I409" i="2"/>
  <c r="I397" i="2"/>
  <c r="I100" i="2"/>
  <c r="I267" i="2"/>
  <c r="I132" i="2"/>
  <c r="I178" i="2"/>
  <c r="I395" i="2"/>
  <c r="I241" i="2"/>
  <c r="I87" i="2"/>
  <c r="I421" i="2"/>
  <c r="I183" i="2"/>
  <c r="I62" i="2"/>
  <c r="I78" i="2"/>
  <c r="I9" i="2"/>
  <c r="I291" i="2"/>
  <c r="I66" i="2"/>
  <c r="I209" i="2"/>
  <c r="I122" i="2"/>
  <c r="I302" i="2"/>
  <c r="I410" i="2"/>
  <c r="I496" i="2"/>
  <c r="I319" i="2"/>
  <c r="I479" i="2"/>
  <c r="I424" i="2"/>
  <c r="I123" i="2"/>
  <c r="I287" i="2"/>
  <c r="I131" i="2"/>
  <c r="I19" i="2"/>
  <c r="I220" i="2"/>
  <c r="I185" i="2"/>
  <c r="I346" i="2"/>
  <c r="I213" i="2"/>
  <c r="I282" i="2"/>
  <c r="I243" i="2"/>
  <c r="I452" i="2"/>
  <c r="I247" i="2"/>
  <c r="I445" i="2"/>
  <c r="I487" i="2"/>
  <c r="I70" i="2"/>
  <c r="I474" i="2"/>
  <c r="I280" i="2"/>
  <c r="I441" i="2"/>
  <c r="I135" i="2"/>
  <c r="I324" i="2"/>
  <c r="I159" i="2"/>
  <c r="I313" i="2"/>
  <c r="I61" i="2"/>
  <c r="I305" i="2"/>
  <c r="I494" i="2"/>
  <c r="I52" i="2"/>
  <c r="I97" i="2"/>
  <c r="I156" i="2"/>
  <c r="I177" i="2"/>
  <c r="I153" i="2"/>
  <c r="I273" i="2"/>
  <c r="I28" i="2"/>
  <c r="I116" i="2"/>
  <c r="I308" i="2"/>
  <c r="I254" i="2"/>
  <c r="I362" i="2"/>
  <c r="I203" i="2"/>
  <c r="I103" i="2"/>
  <c r="I435" i="2"/>
  <c r="I236" i="2"/>
  <c r="I84" i="2"/>
  <c r="I113" i="2"/>
  <c r="I50" i="2"/>
  <c r="I394" i="2"/>
  <c r="I63" i="2"/>
  <c r="I36" i="2"/>
  <c r="I109" i="2"/>
  <c r="I142" i="2"/>
  <c r="I314" i="2"/>
  <c r="I80" i="2"/>
  <c r="I467" i="2"/>
  <c r="I493" i="2"/>
  <c r="I315" i="2"/>
  <c r="I320" i="2"/>
  <c r="I337" i="2"/>
  <c r="I237" i="2"/>
  <c r="I197" i="2"/>
  <c r="I139" i="2"/>
  <c r="I140" i="2"/>
  <c r="I49" i="2"/>
  <c r="I134" i="2"/>
  <c r="I184" i="2"/>
  <c r="I389" i="2"/>
  <c r="I29" i="2"/>
  <c r="I233" i="2"/>
  <c r="I303" i="2"/>
  <c r="I360" i="2"/>
  <c r="I6" i="2"/>
  <c r="I101" i="2"/>
  <c r="I251" i="2"/>
  <c r="I110" i="2"/>
  <c r="I157" i="2"/>
  <c r="I152" i="2"/>
  <c r="I443" i="2"/>
  <c r="I173" i="2"/>
  <c r="I255" i="2"/>
  <c r="I163" i="2"/>
  <c r="I45" i="2"/>
  <c r="I329" i="2"/>
  <c r="I151" i="2"/>
  <c r="I167" i="2"/>
  <c r="I414" i="2"/>
  <c r="I85" i="2"/>
  <c r="I326" i="2"/>
  <c r="I231" i="2"/>
  <c r="I270" i="2"/>
  <c r="I322" i="2"/>
  <c r="I492" i="2"/>
  <c r="I216" i="2"/>
  <c r="I381" i="2"/>
  <c r="I347" i="2"/>
  <c r="I143" i="2"/>
  <c r="I144" i="2"/>
  <c r="I58" i="2"/>
  <c r="I234" i="2"/>
  <c r="I491" i="2"/>
  <c r="I72" i="2"/>
  <c r="I224" i="2"/>
  <c r="I462" i="2"/>
  <c r="I336" i="2"/>
  <c r="I391" i="2"/>
  <c r="I434" i="2"/>
  <c r="I297" i="2"/>
  <c r="I473" i="2"/>
  <c r="I486" i="2"/>
  <c r="I345" i="2"/>
  <c r="I212" i="2"/>
  <c r="I154" i="2"/>
  <c r="I447" i="2"/>
  <c r="I335" i="2"/>
  <c r="I367" i="2"/>
  <c r="I348" i="2"/>
  <c r="I408" i="2"/>
  <c r="I475" i="2"/>
  <c r="I137" i="2"/>
  <c r="I226" i="2"/>
  <c r="I227" i="2"/>
  <c r="I189" i="2"/>
  <c r="I222" i="2"/>
  <c r="I38" i="2"/>
  <c r="I238" i="2"/>
  <c r="I206" i="2"/>
  <c r="I357" i="2"/>
  <c r="I74" i="2"/>
  <c r="I284" i="2"/>
  <c r="I306" i="2"/>
  <c r="I416" i="2"/>
  <c r="I265" i="2"/>
  <c r="I102" i="2"/>
  <c r="I390" i="2"/>
  <c r="I422" i="2"/>
  <c r="I99" i="2"/>
  <c r="I170" i="2"/>
  <c r="I7" i="2"/>
  <c r="I468" i="2"/>
  <c r="I361" i="2"/>
  <c r="I200" i="2"/>
  <c r="I111" i="2"/>
  <c r="I292" i="2"/>
  <c r="I385" i="2"/>
  <c r="I15" i="2"/>
  <c r="I418" i="2"/>
  <c r="I295" i="2"/>
  <c r="I428" i="2"/>
  <c r="I457" i="2"/>
  <c r="I191" i="2"/>
  <c r="I190" i="2"/>
  <c r="I22" i="2"/>
  <c r="I59" i="2"/>
  <c r="I81" i="2"/>
  <c r="I471" i="2"/>
  <c r="I130" i="2"/>
  <c r="I382" i="2"/>
  <c r="I288" i="2"/>
  <c r="I148" i="2"/>
  <c r="I83" i="2"/>
  <c r="I459" i="2"/>
  <c r="I150" i="2"/>
  <c r="I129" i="2"/>
  <c r="I242" i="2"/>
  <c r="I5" i="2"/>
  <c r="I145" i="2"/>
  <c r="I364" i="2"/>
  <c r="I454" i="2"/>
  <c r="I115" i="2"/>
  <c r="I76" i="2"/>
  <c r="I427" i="2"/>
  <c r="I252" i="2"/>
  <c r="I60" i="2"/>
  <c r="I293" i="2"/>
  <c r="I82" i="2"/>
  <c r="I327" i="2"/>
  <c r="I466" i="2"/>
  <c r="I312" i="2"/>
  <c r="I281" i="2"/>
  <c r="I268" i="2"/>
  <c r="I105" i="2"/>
  <c r="I438" i="2"/>
  <c r="I309" i="2"/>
  <c r="I478" i="2"/>
  <c r="I396" i="2"/>
  <c r="I229" i="2"/>
  <c r="I67" i="2"/>
  <c r="I33" i="2"/>
  <c r="I375" i="2"/>
  <c r="I92" i="2"/>
  <c r="I108" i="2"/>
  <c r="I358" i="2"/>
  <c r="I405" i="2"/>
  <c r="I65" i="2"/>
  <c r="I497" i="2"/>
  <c r="I387" i="2"/>
  <c r="I235" i="2"/>
  <c r="I317" i="2"/>
  <c r="I439" i="2"/>
  <c r="I420" i="2"/>
  <c r="I165" i="2"/>
  <c r="I124" i="2"/>
  <c r="I354" i="2"/>
  <c r="I20" i="2"/>
  <c r="I290" i="2"/>
  <c r="I482" i="2"/>
  <c r="I259" i="2"/>
  <c r="I161" i="2"/>
  <c r="I276" i="2"/>
  <c r="I258" i="2"/>
  <c r="I311" i="2"/>
  <c r="I193" i="2"/>
  <c r="I374" i="2"/>
  <c r="I37" i="2"/>
  <c r="I370" i="2"/>
  <c r="I328" i="2"/>
  <c r="I323" i="2"/>
  <c r="I46" i="2"/>
  <c r="I147" i="2"/>
  <c r="I128" i="2"/>
  <c r="I349" i="2"/>
  <c r="I461" i="2"/>
  <c r="I368" i="2"/>
  <c r="I376" i="2"/>
  <c r="I480" i="2"/>
  <c r="I196" i="2"/>
  <c r="I54" i="2"/>
  <c r="I120" i="2"/>
  <c r="I338" i="2"/>
  <c r="I182" i="2"/>
  <c r="I95" i="2"/>
  <c r="I64" i="2"/>
  <c r="I8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69A594C-DED4-4705-87BE-9802EEDB0E8E}" keepAlive="1" name="Query - product_performance_data" description="Connection to the 'product_performance_data' query in the workbook." type="5" refreshedVersion="8" background="1" saveData="1">
    <dbPr connection="Provider=Microsoft.Mashup.OleDb.1;Data Source=$Workbook$;Location=product_performance_data;Extended Properties=&quot;&quot;" command="SELECT * FROM [product_performance_data]"/>
  </connection>
</connections>
</file>

<file path=xl/sharedStrings.xml><?xml version="1.0" encoding="utf-8"?>
<sst xmlns="http://schemas.openxmlformats.org/spreadsheetml/2006/main" count="1797" uniqueCount="1028">
  <si>
    <t>Product_ID</t>
  </si>
  <si>
    <t>Product_Name</t>
  </si>
  <si>
    <t>Category</t>
  </si>
  <si>
    <t>Units_Sold</t>
  </si>
  <si>
    <t>Unit_Price</t>
  </si>
  <si>
    <t>Date_Sold</t>
  </si>
  <si>
    <t>Revenue</t>
  </si>
  <si>
    <t>P1000</t>
  </si>
  <si>
    <t>Food Max</t>
  </si>
  <si>
    <t>Beauty</t>
  </si>
  <si>
    <t>P1001</t>
  </si>
  <si>
    <t>Morning X</t>
  </si>
  <si>
    <t>Sports</t>
  </si>
  <si>
    <t>P1002</t>
  </si>
  <si>
    <t>Big X</t>
  </si>
  <si>
    <t>P1003</t>
  </si>
  <si>
    <t>Take Max</t>
  </si>
  <si>
    <t>P1004</t>
  </si>
  <si>
    <t>Admit Pro</t>
  </si>
  <si>
    <t>P1005</t>
  </si>
  <si>
    <t>In X</t>
  </si>
  <si>
    <t>P1006</t>
  </si>
  <si>
    <t>Increase Lite</t>
  </si>
  <si>
    <t>Electronics</t>
  </si>
  <si>
    <t>P1007</t>
  </si>
  <si>
    <t>Court X</t>
  </si>
  <si>
    <t>P1008</t>
  </si>
  <si>
    <t>Others Max</t>
  </si>
  <si>
    <t>P1009</t>
  </si>
  <si>
    <t>Our X</t>
  </si>
  <si>
    <t>Clothing</t>
  </si>
  <si>
    <t>P1010</t>
  </si>
  <si>
    <t>Our Plus</t>
  </si>
  <si>
    <t>P1011</t>
  </si>
  <si>
    <t>Senior Plus</t>
  </si>
  <si>
    <t>P1012</t>
  </si>
  <si>
    <t>Too Plus</t>
  </si>
  <si>
    <t>Home &amp; Kitchen</t>
  </si>
  <si>
    <t>P1013</t>
  </si>
  <si>
    <t>Staff X</t>
  </si>
  <si>
    <t>P1014</t>
  </si>
  <si>
    <t>Kind Lite</t>
  </si>
  <si>
    <t>P1015</t>
  </si>
  <si>
    <t>Into X</t>
  </si>
  <si>
    <t>P1016</t>
  </si>
  <si>
    <t>Wear Max</t>
  </si>
  <si>
    <t>P1017</t>
  </si>
  <si>
    <t>Get Max</t>
  </si>
  <si>
    <t>P1018</t>
  </si>
  <si>
    <t>Prevent Pro</t>
  </si>
  <si>
    <t>P1019</t>
  </si>
  <si>
    <t>Try Lite</t>
  </si>
  <si>
    <t>P1020</t>
  </si>
  <si>
    <t>Tree Plus</t>
  </si>
  <si>
    <t>P1021</t>
  </si>
  <si>
    <t>Officer Pro</t>
  </si>
  <si>
    <t>P1022</t>
  </si>
  <si>
    <t>School Max</t>
  </si>
  <si>
    <t>P1023</t>
  </si>
  <si>
    <t>Night Plus</t>
  </si>
  <si>
    <t>unknown</t>
  </si>
  <si>
    <t>P1024</t>
  </si>
  <si>
    <t>Step Plus</t>
  </si>
  <si>
    <t>Automotive</t>
  </si>
  <si>
    <t>P1025</t>
  </si>
  <si>
    <t>Member X</t>
  </si>
  <si>
    <t>P1026</t>
  </si>
  <si>
    <t>Source Plus</t>
  </si>
  <si>
    <t>P1027</t>
  </si>
  <si>
    <t>Explain Lite</t>
  </si>
  <si>
    <t>P1028</t>
  </si>
  <si>
    <t>Your X</t>
  </si>
  <si>
    <t>P1029</t>
  </si>
  <si>
    <t>Wall Lite</t>
  </si>
  <si>
    <t>P1030</t>
  </si>
  <si>
    <t>Stay Plus</t>
  </si>
  <si>
    <t>P1031</t>
  </si>
  <si>
    <t>Child Plus</t>
  </si>
  <si>
    <t>P1032</t>
  </si>
  <si>
    <t>Miss Max</t>
  </si>
  <si>
    <t>P1033</t>
  </si>
  <si>
    <t>Family Lite</t>
  </si>
  <si>
    <t>P1034</t>
  </si>
  <si>
    <t>Treat Lite</t>
  </si>
  <si>
    <t>P1035</t>
  </si>
  <si>
    <t>Foot Lite</t>
  </si>
  <si>
    <t>P1036</t>
  </si>
  <si>
    <t>Each X</t>
  </si>
  <si>
    <t>P1037</t>
  </si>
  <si>
    <t>Soldier X</t>
  </si>
  <si>
    <t>P1038</t>
  </si>
  <si>
    <t>Mention Pro</t>
  </si>
  <si>
    <t>P1039</t>
  </si>
  <si>
    <t>Hit Plus</t>
  </si>
  <si>
    <t>P1040</t>
  </si>
  <si>
    <t>Sign Lite</t>
  </si>
  <si>
    <t>P1041</t>
  </si>
  <si>
    <t>Late Lite</t>
  </si>
  <si>
    <t>P1042</t>
  </si>
  <si>
    <t>Data Max</t>
  </si>
  <si>
    <t>P1043</t>
  </si>
  <si>
    <t>Recently Plus</t>
  </si>
  <si>
    <t>P1044</t>
  </si>
  <si>
    <t>Way X</t>
  </si>
  <si>
    <t>P1045</t>
  </si>
  <si>
    <t>Market Pro</t>
  </si>
  <si>
    <t>P1046</t>
  </si>
  <si>
    <t>Different Lite</t>
  </si>
  <si>
    <t>P1047</t>
  </si>
  <si>
    <t>Anyone Pro</t>
  </si>
  <si>
    <t>P1048</t>
  </si>
  <si>
    <t>Management Plus</t>
  </si>
  <si>
    <t>P1049</t>
  </si>
  <si>
    <t>Seek Max</t>
  </si>
  <si>
    <t>P1050</t>
  </si>
  <si>
    <t>Admit Lite</t>
  </si>
  <si>
    <t>P1051</t>
  </si>
  <si>
    <t>Walk X</t>
  </si>
  <si>
    <t>P1052</t>
  </si>
  <si>
    <t>Respond Lite</t>
  </si>
  <si>
    <t>P1053</t>
  </si>
  <si>
    <t>Certainly X</t>
  </si>
  <si>
    <t>P1054</t>
  </si>
  <si>
    <t>Use Max</t>
  </si>
  <si>
    <t>P1055</t>
  </si>
  <si>
    <t>Every Lite</t>
  </si>
  <si>
    <t>P1056</t>
  </si>
  <si>
    <t>Hit Max</t>
  </si>
  <si>
    <t>P1057</t>
  </si>
  <si>
    <t>Move Pro</t>
  </si>
  <si>
    <t>P1058</t>
  </si>
  <si>
    <t>Trouble Plus</t>
  </si>
  <si>
    <t>P1059</t>
  </si>
  <si>
    <t>War X</t>
  </si>
  <si>
    <t>P1060</t>
  </si>
  <si>
    <t>Eye X</t>
  </si>
  <si>
    <t>P1061</t>
  </si>
  <si>
    <t>Which Lite</t>
  </si>
  <si>
    <t>P1062</t>
  </si>
  <si>
    <t>Hour Lite</t>
  </si>
  <si>
    <t>P1063</t>
  </si>
  <si>
    <t>Large X</t>
  </si>
  <si>
    <t>P1064</t>
  </si>
  <si>
    <t>Actually Plus</t>
  </si>
  <si>
    <t>P1065</t>
  </si>
  <si>
    <t>Number Plus</t>
  </si>
  <si>
    <t>P1066</t>
  </si>
  <si>
    <t>Media Plus</t>
  </si>
  <si>
    <t>P1067</t>
  </si>
  <si>
    <t>Return Max</t>
  </si>
  <si>
    <t>P1068</t>
  </si>
  <si>
    <t>Defense Pro</t>
  </si>
  <si>
    <t>P1069</t>
  </si>
  <si>
    <t>Full Lite</t>
  </si>
  <si>
    <t>P1070</t>
  </si>
  <si>
    <t>Mention Max</t>
  </si>
  <si>
    <t>P1071</t>
  </si>
  <si>
    <t>Push Max</t>
  </si>
  <si>
    <t>P1072</t>
  </si>
  <si>
    <t>Describe Max</t>
  </si>
  <si>
    <t>P1073</t>
  </si>
  <si>
    <t>Thousand Pro</t>
  </si>
  <si>
    <t>P1074</t>
  </si>
  <si>
    <t>Over X</t>
  </si>
  <si>
    <t>P1075</t>
  </si>
  <si>
    <t>Animal Max</t>
  </si>
  <si>
    <t>P1076</t>
  </si>
  <si>
    <t>Process Lite</t>
  </si>
  <si>
    <t>P1077</t>
  </si>
  <si>
    <t>Yes Max</t>
  </si>
  <si>
    <t>P1078</t>
  </si>
  <si>
    <t>Unit Lite</t>
  </si>
  <si>
    <t>P1079</t>
  </si>
  <si>
    <t>Return Pro</t>
  </si>
  <si>
    <t>P1080</t>
  </si>
  <si>
    <t>Respond X</t>
  </si>
  <si>
    <t>P1081</t>
  </si>
  <si>
    <t>Rise Plus</t>
  </si>
  <si>
    <t>P1082</t>
  </si>
  <si>
    <t>Rest X</t>
  </si>
  <si>
    <t>P1083</t>
  </si>
  <si>
    <t>Message Max</t>
  </si>
  <si>
    <t>P1084</t>
  </si>
  <si>
    <t>Government Pro</t>
  </si>
  <si>
    <t>P1085</t>
  </si>
  <si>
    <t>Well X</t>
  </si>
  <si>
    <t>P1086</t>
  </si>
  <si>
    <t>Wait X</t>
  </si>
  <si>
    <t>P1087</t>
  </si>
  <si>
    <t>On Plus</t>
  </si>
  <si>
    <t>P1088</t>
  </si>
  <si>
    <t>Call Lite</t>
  </si>
  <si>
    <t>P1089</t>
  </si>
  <si>
    <t>Term Lite</t>
  </si>
  <si>
    <t>P1090</t>
  </si>
  <si>
    <t>Decision Max</t>
  </si>
  <si>
    <t>P1091</t>
  </si>
  <si>
    <t>The Pro</t>
  </si>
  <si>
    <t>P1092</t>
  </si>
  <si>
    <t>May Plus</t>
  </si>
  <si>
    <t>P1093</t>
  </si>
  <si>
    <t>Thus X</t>
  </si>
  <si>
    <t>P1094</t>
  </si>
  <si>
    <t>Paper X</t>
  </si>
  <si>
    <t>P1095</t>
  </si>
  <si>
    <t>Attention X</t>
  </si>
  <si>
    <t>P1096</t>
  </si>
  <si>
    <t>Author Plus</t>
  </si>
  <si>
    <t>P1097</t>
  </si>
  <si>
    <t>Help Max</t>
  </si>
  <si>
    <t>P1098</t>
  </si>
  <si>
    <t>Her Plus</t>
  </si>
  <si>
    <t>P1099</t>
  </si>
  <si>
    <t>Drive Pro</t>
  </si>
  <si>
    <t>P1100</t>
  </si>
  <si>
    <t>Car Lite</t>
  </si>
  <si>
    <t>P1101</t>
  </si>
  <si>
    <t>Program Pro</t>
  </si>
  <si>
    <t>P1102</t>
  </si>
  <si>
    <t>Already Plus</t>
  </si>
  <si>
    <t>P1103</t>
  </si>
  <si>
    <t>Easy Plus</t>
  </si>
  <si>
    <t>P1104</t>
  </si>
  <si>
    <t>Adult Max</t>
  </si>
  <si>
    <t>P1105</t>
  </si>
  <si>
    <t>Fast X</t>
  </si>
  <si>
    <t>P1106</t>
  </si>
  <si>
    <t>World Pro</t>
  </si>
  <si>
    <t>P1107</t>
  </si>
  <si>
    <t>With Lite</t>
  </si>
  <si>
    <t>P1108</t>
  </si>
  <si>
    <t>Day Lite</t>
  </si>
  <si>
    <t>P1109</t>
  </si>
  <si>
    <t>Decide Max</t>
  </si>
  <si>
    <t>P1110</t>
  </si>
  <si>
    <t>Against Max</t>
  </si>
  <si>
    <t>P1111</t>
  </si>
  <si>
    <t>Feel Pro</t>
  </si>
  <si>
    <t>P1112</t>
  </si>
  <si>
    <t>Police X</t>
  </si>
  <si>
    <t>P1113</t>
  </si>
  <si>
    <t>Short Lite</t>
  </si>
  <si>
    <t>P1114</t>
  </si>
  <si>
    <t>Suffer Max</t>
  </si>
  <si>
    <t>P1115</t>
  </si>
  <si>
    <t>If Pro</t>
  </si>
  <si>
    <t>P1116</t>
  </si>
  <si>
    <t>Hour Max</t>
  </si>
  <si>
    <t>P1117</t>
  </si>
  <si>
    <t>Event Lite</t>
  </si>
  <si>
    <t>P1118</t>
  </si>
  <si>
    <t>Unit Pro</t>
  </si>
  <si>
    <t>P1119</t>
  </si>
  <si>
    <t>Reach X</t>
  </si>
  <si>
    <t>P1120</t>
  </si>
  <si>
    <t>Fill Lite</t>
  </si>
  <si>
    <t>P1121</t>
  </si>
  <si>
    <t>Require X</t>
  </si>
  <si>
    <t>P1122</t>
  </si>
  <si>
    <t>Benefit X</t>
  </si>
  <si>
    <t>P1123</t>
  </si>
  <si>
    <t>Control Max</t>
  </si>
  <si>
    <t>P1124</t>
  </si>
  <si>
    <t>Employee Max</t>
  </si>
  <si>
    <t>P1125</t>
  </si>
  <si>
    <t>P1126</t>
  </si>
  <si>
    <t>Role X</t>
  </si>
  <si>
    <t>P1127</t>
  </si>
  <si>
    <t>Interesting X</t>
  </si>
  <si>
    <t>P1128</t>
  </si>
  <si>
    <t>Back Pro</t>
  </si>
  <si>
    <t>P1129</t>
  </si>
  <si>
    <t>Shake Pro</t>
  </si>
  <si>
    <t>P1130</t>
  </si>
  <si>
    <t>P1131</t>
  </si>
  <si>
    <t>Result Lite</t>
  </si>
  <si>
    <t>P1132</t>
  </si>
  <si>
    <t>National Plus</t>
  </si>
  <si>
    <t>P1133</t>
  </si>
  <si>
    <t>No Plus</t>
  </si>
  <si>
    <t>P1134</t>
  </si>
  <si>
    <t>Partner Lite</t>
  </si>
  <si>
    <t>P1135</t>
  </si>
  <si>
    <t>Son Max</t>
  </si>
  <si>
    <t>P1136</t>
  </si>
  <si>
    <t>Interesting Plus</t>
  </si>
  <si>
    <t>P1137</t>
  </si>
  <si>
    <t>Few X</t>
  </si>
  <si>
    <t>P1138</t>
  </si>
  <si>
    <t>Compare Pro</t>
  </si>
  <si>
    <t>P1139</t>
  </si>
  <si>
    <t>Must Pro</t>
  </si>
  <si>
    <t>P1140</t>
  </si>
  <si>
    <t>Suggest X</t>
  </si>
  <si>
    <t>P1141</t>
  </si>
  <si>
    <t>Explain Max</t>
  </si>
  <si>
    <t>P1142</t>
  </si>
  <si>
    <t>Drop Max</t>
  </si>
  <si>
    <t>P1143</t>
  </si>
  <si>
    <t>Look Max</t>
  </si>
  <si>
    <t>P1144</t>
  </si>
  <si>
    <t>Commercial X</t>
  </si>
  <si>
    <t>P1145</t>
  </si>
  <si>
    <t>Those X</t>
  </si>
  <si>
    <t>P1146</t>
  </si>
  <si>
    <t>Medical Plus</t>
  </si>
  <si>
    <t>P1147</t>
  </si>
  <si>
    <t>Chance Plus</t>
  </si>
  <si>
    <t>P1148</t>
  </si>
  <si>
    <t>Good Max</t>
  </si>
  <si>
    <t>P1149</t>
  </si>
  <si>
    <t>Current Pro</t>
  </si>
  <si>
    <t>P1150</t>
  </si>
  <si>
    <t>Condition Lite</t>
  </si>
  <si>
    <t>P1151</t>
  </si>
  <si>
    <t>Art X</t>
  </si>
  <si>
    <t>P1152</t>
  </si>
  <si>
    <t>Line Plus</t>
  </si>
  <si>
    <t>P1153</t>
  </si>
  <si>
    <t>Travel Plus</t>
  </si>
  <si>
    <t>P1154</t>
  </si>
  <si>
    <t>Answer X</t>
  </si>
  <si>
    <t>P1155</t>
  </si>
  <si>
    <t>P1156</t>
  </si>
  <si>
    <t>Consider Plus</t>
  </si>
  <si>
    <t>P1157</t>
  </si>
  <si>
    <t>Its Plus</t>
  </si>
  <si>
    <t>P1158</t>
  </si>
  <si>
    <t>Site Pro</t>
  </si>
  <si>
    <t>P1159</t>
  </si>
  <si>
    <t>Fear Lite</t>
  </si>
  <si>
    <t>P1160</t>
  </si>
  <si>
    <t>At Plus</t>
  </si>
  <si>
    <t>P1161</t>
  </si>
  <si>
    <t>Lay Lite</t>
  </si>
  <si>
    <t>P1162</t>
  </si>
  <si>
    <t>Full X</t>
  </si>
  <si>
    <t>P1163</t>
  </si>
  <si>
    <t>Say Plus</t>
  </si>
  <si>
    <t>P1164</t>
  </si>
  <si>
    <t>Establish Lite</t>
  </si>
  <si>
    <t>P1165</t>
  </si>
  <si>
    <t>Born Lite</t>
  </si>
  <si>
    <t>P1166</t>
  </si>
  <si>
    <t>Build Lite</t>
  </si>
  <si>
    <t>P1167</t>
  </si>
  <si>
    <t>P1168</t>
  </si>
  <si>
    <t>Meet X</t>
  </si>
  <si>
    <t>P1169</t>
  </si>
  <si>
    <t>Energy Plus</t>
  </si>
  <si>
    <t>P1170</t>
  </si>
  <si>
    <t>Right Max</t>
  </si>
  <si>
    <t>P1171</t>
  </si>
  <si>
    <t>Because Pro</t>
  </si>
  <si>
    <t>P1172</t>
  </si>
  <si>
    <t>Strategy X</t>
  </si>
  <si>
    <t>P1173</t>
  </si>
  <si>
    <t>Song Max</t>
  </si>
  <si>
    <t>P1174</t>
  </si>
  <si>
    <t>Go X</t>
  </si>
  <si>
    <t>P1175</t>
  </si>
  <si>
    <t>Thought X</t>
  </si>
  <si>
    <t>P1176</t>
  </si>
  <si>
    <t>Industry Pro</t>
  </si>
  <si>
    <t>P1177</t>
  </si>
  <si>
    <t>City Max</t>
  </si>
  <si>
    <t>P1178</t>
  </si>
  <si>
    <t>Authority Max</t>
  </si>
  <si>
    <t>P1179</t>
  </si>
  <si>
    <t>Car Pro</t>
  </si>
  <si>
    <t>P1180</t>
  </si>
  <si>
    <t>Less Lite</t>
  </si>
  <si>
    <t>P1181</t>
  </si>
  <si>
    <t>Job Pro</t>
  </si>
  <si>
    <t>P1182</t>
  </si>
  <si>
    <t>Second Pro</t>
  </si>
  <si>
    <t>P1183</t>
  </si>
  <si>
    <t>Difficult X</t>
  </si>
  <si>
    <t>P1184</t>
  </si>
  <si>
    <t>Exist Plus</t>
  </si>
  <si>
    <t>P1185</t>
  </si>
  <si>
    <t>Rather Plus</t>
  </si>
  <si>
    <t>P1186</t>
  </si>
  <si>
    <t>P1187</t>
  </si>
  <si>
    <t>Change Pro</t>
  </si>
  <si>
    <t>P1188</t>
  </si>
  <si>
    <t>Current Lite</t>
  </si>
  <si>
    <t>P1189</t>
  </si>
  <si>
    <t>P1190</t>
  </si>
  <si>
    <t>Gas X</t>
  </si>
  <si>
    <t>P1191</t>
  </si>
  <si>
    <t>Bag Plus</t>
  </si>
  <si>
    <t>P1192</t>
  </si>
  <si>
    <t>Especially Max</t>
  </si>
  <si>
    <t>P1193</t>
  </si>
  <si>
    <t>People X</t>
  </si>
  <si>
    <t>P1194</t>
  </si>
  <si>
    <t>Appear Lite</t>
  </si>
  <si>
    <t>P1195</t>
  </si>
  <si>
    <t>Language Max</t>
  </si>
  <si>
    <t>P1196</t>
  </si>
  <si>
    <t>Particularly Plus</t>
  </si>
  <si>
    <t>P1197</t>
  </si>
  <si>
    <t>Child X</t>
  </si>
  <si>
    <t>P1198</t>
  </si>
  <si>
    <t>Crime Lite</t>
  </si>
  <si>
    <t>P1199</t>
  </si>
  <si>
    <t>Sell Plus</t>
  </si>
  <si>
    <t>P1200</t>
  </si>
  <si>
    <t>Your Max</t>
  </si>
  <si>
    <t>P1201</t>
  </si>
  <si>
    <t>Arrive X</t>
  </si>
  <si>
    <t>P1202</t>
  </si>
  <si>
    <t>Two Plus</t>
  </si>
  <si>
    <t>P1203</t>
  </si>
  <si>
    <t>Lead Pro</t>
  </si>
  <si>
    <t>P1204</t>
  </si>
  <si>
    <t>Financial Pro</t>
  </si>
  <si>
    <t>P1205</t>
  </si>
  <si>
    <t>East Max</t>
  </si>
  <si>
    <t>P1206</t>
  </si>
  <si>
    <t>Require Max</t>
  </si>
  <si>
    <t>P1207</t>
  </si>
  <si>
    <t>Campaign Plus</t>
  </si>
  <si>
    <t>P1208</t>
  </si>
  <si>
    <t>Boy Lite</t>
  </si>
  <si>
    <t>P1209</t>
  </si>
  <si>
    <t>Down Max</t>
  </si>
  <si>
    <t>P1210</t>
  </si>
  <si>
    <t>P1211</t>
  </si>
  <si>
    <t>Them Lite</t>
  </si>
  <si>
    <t>P1212</t>
  </si>
  <si>
    <t>Girl Plus</t>
  </si>
  <si>
    <t>P1213</t>
  </si>
  <si>
    <t>Big Lite</t>
  </si>
  <si>
    <t>P1214</t>
  </si>
  <si>
    <t>Relationship Pro</t>
  </si>
  <si>
    <t>P1215</t>
  </si>
  <si>
    <t>Break X</t>
  </si>
  <si>
    <t>P1216</t>
  </si>
  <si>
    <t>Technology Plus</t>
  </si>
  <si>
    <t>P1217</t>
  </si>
  <si>
    <t>Us Max</t>
  </si>
  <si>
    <t>P1218</t>
  </si>
  <si>
    <t>Myself X</t>
  </si>
  <si>
    <t>P1219</t>
  </si>
  <si>
    <t>P1220</t>
  </si>
  <si>
    <t>Behavior Plus</t>
  </si>
  <si>
    <t>P1221</t>
  </si>
  <si>
    <t>Remain Plus</t>
  </si>
  <si>
    <t>P1222</t>
  </si>
  <si>
    <t>Well Lite</t>
  </si>
  <si>
    <t>P1223</t>
  </si>
  <si>
    <t>Everybody Plus</t>
  </si>
  <si>
    <t>P1224</t>
  </si>
  <si>
    <t>News X</t>
  </si>
  <si>
    <t>P1225</t>
  </si>
  <si>
    <t>Local Max</t>
  </si>
  <si>
    <t>P1226</t>
  </si>
  <si>
    <t>Against Lite</t>
  </si>
  <si>
    <t>P1227</t>
  </si>
  <si>
    <t>Risk Max</t>
  </si>
  <si>
    <t>P1228</t>
  </si>
  <si>
    <t>Who Lite</t>
  </si>
  <si>
    <t>P1229</t>
  </si>
  <si>
    <t>Green Max</t>
  </si>
  <si>
    <t>P1230</t>
  </si>
  <si>
    <t>Probably Plus</t>
  </si>
  <si>
    <t>P1231</t>
  </si>
  <si>
    <t>Nearly Pro</t>
  </si>
  <si>
    <t>P1232</t>
  </si>
  <si>
    <t>P1233</t>
  </si>
  <si>
    <t>Stage Lite</t>
  </si>
  <si>
    <t>P1234</t>
  </si>
  <si>
    <t>Question Plus</t>
  </si>
  <si>
    <t>P1235</t>
  </si>
  <si>
    <t>Research Plus</t>
  </si>
  <si>
    <t>P1236</t>
  </si>
  <si>
    <t>Until Lite</t>
  </si>
  <si>
    <t>P1237</t>
  </si>
  <si>
    <t>Chair Pro</t>
  </si>
  <si>
    <t>P1238</t>
  </si>
  <si>
    <t>Activity Plus</t>
  </si>
  <si>
    <t>P1239</t>
  </si>
  <si>
    <t>Sign X</t>
  </si>
  <si>
    <t>P1240</t>
  </si>
  <si>
    <t>Many Pro</t>
  </si>
  <si>
    <t>P1241</t>
  </si>
  <si>
    <t>From Plus</t>
  </si>
  <si>
    <t>P1242</t>
  </si>
  <si>
    <t>Ball Lite</t>
  </si>
  <si>
    <t>P1243</t>
  </si>
  <si>
    <t>Field Plus</t>
  </si>
  <si>
    <t>P1244</t>
  </si>
  <si>
    <t>Mind Lite</t>
  </si>
  <si>
    <t>P1245</t>
  </si>
  <si>
    <t>Bed Plus</t>
  </si>
  <si>
    <t>P1246</t>
  </si>
  <si>
    <t>Weight Pro</t>
  </si>
  <si>
    <t>P1247</t>
  </si>
  <si>
    <t>Produce X</t>
  </si>
  <si>
    <t>P1248</t>
  </si>
  <si>
    <t>Area X</t>
  </si>
  <si>
    <t>P1249</t>
  </si>
  <si>
    <t>Interest Max</t>
  </si>
  <si>
    <t>P1250</t>
  </si>
  <si>
    <t>Project Pro</t>
  </si>
  <si>
    <t>P1251</t>
  </si>
  <si>
    <t>Claim Pro</t>
  </si>
  <si>
    <t>P1252</t>
  </si>
  <si>
    <t>Pass Pro</t>
  </si>
  <si>
    <t>P1253</t>
  </si>
  <si>
    <t>Popular Max</t>
  </si>
  <si>
    <t>P1254</t>
  </si>
  <si>
    <t>Reality Plus</t>
  </si>
  <si>
    <t>P1255</t>
  </si>
  <si>
    <t>Claim Max</t>
  </si>
  <si>
    <t>P1256</t>
  </si>
  <si>
    <t>Onto Pro</t>
  </si>
  <si>
    <t>P1257</t>
  </si>
  <si>
    <t>Deep Plus</t>
  </si>
  <si>
    <t>P1258</t>
  </si>
  <si>
    <t>Which Max</t>
  </si>
  <si>
    <t>P1259</t>
  </si>
  <si>
    <t>House X</t>
  </si>
  <si>
    <t>P1260</t>
  </si>
  <si>
    <t>Money Plus</t>
  </si>
  <si>
    <t>P1261</t>
  </si>
  <si>
    <t>Religious Lite</t>
  </si>
  <si>
    <t>P1262</t>
  </si>
  <si>
    <t>Necessary Pro</t>
  </si>
  <si>
    <t>P1263</t>
  </si>
  <si>
    <t>College X</t>
  </si>
  <si>
    <t>P1264</t>
  </si>
  <si>
    <t>Around Pro</t>
  </si>
  <si>
    <t>P1265</t>
  </si>
  <si>
    <t>Agency X</t>
  </si>
  <si>
    <t>P1266</t>
  </si>
  <si>
    <t>Great Max</t>
  </si>
  <si>
    <t>P1267</t>
  </si>
  <si>
    <t>Individual Plus</t>
  </si>
  <si>
    <t>P1268</t>
  </si>
  <si>
    <t>Congress Pro</t>
  </si>
  <si>
    <t>P1269</t>
  </si>
  <si>
    <t>Level Max</t>
  </si>
  <si>
    <t>P1270</t>
  </si>
  <si>
    <t>P1271</t>
  </si>
  <si>
    <t>Return Lite</t>
  </si>
  <si>
    <t>P1272</t>
  </si>
  <si>
    <t>New Max</t>
  </si>
  <si>
    <t>P1273</t>
  </si>
  <si>
    <t>Prepare Lite</t>
  </si>
  <si>
    <t>P1274</t>
  </si>
  <si>
    <t>P1275</t>
  </si>
  <si>
    <t>Sport Max</t>
  </si>
  <si>
    <t>P1276</t>
  </si>
  <si>
    <t>Look Lite</t>
  </si>
  <si>
    <t>P1277</t>
  </si>
  <si>
    <t>Player X</t>
  </si>
  <si>
    <t>P1278</t>
  </si>
  <si>
    <t>Occur Lite</t>
  </si>
  <si>
    <t>P1279</t>
  </si>
  <si>
    <t>Buy Plus</t>
  </si>
  <si>
    <t>P1280</t>
  </si>
  <si>
    <t>By Plus</t>
  </si>
  <si>
    <t>P1281</t>
  </si>
  <si>
    <t>P1282</t>
  </si>
  <si>
    <t>Upon Max</t>
  </si>
  <si>
    <t>P1283</t>
  </si>
  <si>
    <t>Idea Lite</t>
  </si>
  <si>
    <t>P1284</t>
  </si>
  <si>
    <t>Least Pro</t>
  </si>
  <si>
    <t>P1285</t>
  </si>
  <si>
    <t>East Pro</t>
  </si>
  <si>
    <t>P1286</t>
  </si>
  <si>
    <t>White X</t>
  </si>
  <si>
    <t>P1287</t>
  </si>
  <si>
    <t>Yes Pro</t>
  </si>
  <si>
    <t>P1288</t>
  </si>
  <si>
    <t>Camera Max</t>
  </si>
  <si>
    <t>P1289</t>
  </si>
  <si>
    <t>Recognize Max</t>
  </si>
  <si>
    <t>P1290</t>
  </si>
  <si>
    <t>Education X</t>
  </si>
  <si>
    <t>P1291</t>
  </si>
  <si>
    <t>Door Max</t>
  </si>
  <si>
    <t>P1292</t>
  </si>
  <si>
    <t>Public Pro</t>
  </si>
  <si>
    <t>P1293</t>
  </si>
  <si>
    <t>Nice Plus</t>
  </si>
  <si>
    <t>P1294</t>
  </si>
  <si>
    <t>Only Plus</t>
  </si>
  <si>
    <t>P1295</t>
  </si>
  <si>
    <t>Wind Lite</t>
  </si>
  <si>
    <t>P1296</t>
  </si>
  <si>
    <t>Machine Max</t>
  </si>
  <si>
    <t>P1297</t>
  </si>
  <si>
    <t>Year Pro</t>
  </si>
  <si>
    <t>P1298</t>
  </si>
  <si>
    <t>Town X</t>
  </si>
  <si>
    <t>P1299</t>
  </si>
  <si>
    <t>Back Max</t>
  </si>
  <si>
    <t>P1300</t>
  </si>
  <si>
    <t>Too Pro</t>
  </si>
  <si>
    <t>P1301</t>
  </si>
  <si>
    <t>Music Max</t>
  </si>
  <si>
    <t>P1302</t>
  </si>
  <si>
    <t>Identify Plus</t>
  </si>
  <si>
    <t>P1303</t>
  </si>
  <si>
    <t>Of X</t>
  </si>
  <si>
    <t>P1304</t>
  </si>
  <si>
    <t>Kitchen X</t>
  </si>
  <si>
    <t>P1305</t>
  </si>
  <si>
    <t>Role Plus</t>
  </si>
  <si>
    <t>P1306</t>
  </si>
  <si>
    <t>Official Max</t>
  </si>
  <si>
    <t>P1307</t>
  </si>
  <si>
    <t>Base X</t>
  </si>
  <si>
    <t>P1308</t>
  </si>
  <si>
    <t>Offer Plus</t>
  </si>
  <si>
    <t>P1309</t>
  </si>
  <si>
    <t>Against Pro</t>
  </si>
  <si>
    <t>P1310</t>
  </si>
  <si>
    <t>Individual Pro</t>
  </si>
  <si>
    <t>P1311</t>
  </si>
  <si>
    <t>Case X</t>
  </si>
  <si>
    <t>P1312</t>
  </si>
  <si>
    <t>Increase Pro</t>
  </si>
  <si>
    <t>P1313</t>
  </si>
  <si>
    <t>Audience X</t>
  </si>
  <si>
    <t>P1314</t>
  </si>
  <si>
    <t>P1315</t>
  </si>
  <si>
    <t>Special X</t>
  </si>
  <si>
    <t>P1316</t>
  </si>
  <si>
    <t>Sit X</t>
  </si>
  <si>
    <t>P1317</t>
  </si>
  <si>
    <t>List Plus</t>
  </si>
  <si>
    <t>P1318</t>
  </si>
  <si>
    <t>One Lite</t>
  </si>
  <si>
    <t>P1319</t>
  </si>
  <si>
    <t>They X</t>
  </si>
  <si>
    <t>P1320</t>
  </si>
  <si>
    <t>Political Lite</t>
  </si>
  <si>
    <t>P1321</t>
  </si>
  <si>
    <t>Congress X</t>
  </si>
  <si>
    <t>P1322</t>
  </si>
  <si>
    <t>Away Pro</t>
  </si>
  <si>
    <t>P1323</t>
  </si>
  <si>
    <t>True Pro</t>
  </si>
  <si>
    <t>P1324</t>
  </si>
  <si>
    <t>Least X</t>
  </si>
  <si>
    <t>P1325</t>
  </si>
  <si>
    <t>Way Pro</t>
  </si>
  <si>
    <t>P1326</t>
  </si>
  <si>
    <t>Receive Max</t>
  </si>
  <si>
    <t>P1327</t>
  </si>
  <si>
    <t>Smile Max</t>
  </si>
  <si>
    <t>P1328</t>
  </si>
  <si>
    <t>Simply Plus</t>
  </si>
  <si>
    <t>P1329</t>
  </si>
  <si>
    <t>Well Max</t>
  </si>
  <si>
    <t>P1330</t>
  </si>
  <si>
    <t>Various Max</t>
  </si>
  <si>
    <t>P1331</t>
  </si>
  <si>
    <t>Former Pro</t>
  </si>
  <si>
    <t>P1332</t>
  </si>
  <si>
    <t>Send Plus</t>
  </si>
  <si>
    <t>P1333</t>
  </si>
  <si>
    <t>Education Pro</t>
  </si>
  <si>
    <t>P1334</t>
  </si>
  <si>
    <t>Guess Pro</t>
  </si>
  <si>
    <t>P1335</t>
  </si>
  <si>
    <t>Home X</t>
  </si>
  <si>
    <t>P1336</t>
  </si>
  <si>
    <t>Factor Pro</t>
  </si>
  <si>
    <t>P1337</t>
  </si>
  <si>
    <t>Position X</t>
  </si>
  <si>
    <t>P1338</t>
  </si>
  <si>
    <t>P1339</t>
  </si>
  <si>
    <t>Instead Pro</t>
  </si>
  <si>
    <t>P1340</t>
  </si>
  <si>
    <t>Look Pro</t>
  </si>
  <si>
    <t>P1341</t>
  </si>
  <si>
    <t>Million Plus</t>
  </si>
  <si>
    <t>P1342</t>
  </si>
  <si>
    <t>Cold Pro</t>
  </si>
  <si>
    <t>P1343</t>
  </si>
  <si>
    <t>Through Pro</t>
  </si>
  <si>
    <t>P1344</t>
  </si>
  <si>
    <t>Blue Lite</t>
  </si>
  <si>
    <t>P1345</t>
  </si>
  <si>
    <t>P1346</t>
  </si>
  <si>
    <t>Dog Plus</t>
  </si>
  <si>
    <t>P1347</t>
  </si>
  <si>
    <t>Own Plus</t>
  </si>
  <si>
    <t>P1348</t>
  </si>
  <si>
    <t>Movie Plus</t>
  </si>
  <si>
    <t>P1349</t>
  </si>
  <si>
    <t>Deal Plus</t>
  </si>
  <si>
    <t>P1350</t>
  </si>
  <si>
    <t>Court Pro</t>
  </si>
  <si>
    <t>P1351</t>
  </si>
  <si>
    <t>Federal Lite</t>
  </si>
  <si>
    <t>P1352</t>
  </si>
  <si>
    <t>Blue X</t>
  </si>
  <si>
    <t>P1353</t>
  </si>
  <si>
    <t>Growth Max</t>
  </si>
  <si>
    <t>P1354</t>
  </si>
  <si>
    <t>Learn X</t>
  </si>
  <si>
    <t>P1355</t>
  </si>
  <si>
    <t>Represent Pro</t>
  </si>
  <si>
    <t>P1356</t>
  </si>
  <si>
    <t>Item Max</t>
  </si>
  <si>
    <t>P1357</t>
  </si>
  <si>
    <t>Although Plus</t>
  </si>
  <si>
    <t>P1358</t>
  </si>
  <si>
    <t>Local Pro</t>
  </si>
  <si>
    <t>P1359</t>
  </si>
  <si>
    <t>P1360</t>
  </si>
  <si>
    <t>Despite Lite</t>
  </si>
  <si>
    <t>P1361</t>
  </si>
  <si>
    <t>More X</t>
  </si>
  <si>
    <t>P1362</t>
  </si>
  <si>
    <t>Plan Plus</t>
  </si>
  <si>
    <t>P1363</t>
  </si>
  <si>
    <t>P1364</t>
  </si>
  <si>
    <t>Team Plus</t>
  </si>
  <si>
    <t>P1365</t>
  </si>
  <si>
    <t>Or Lite</t>
  </si>
  <si>
    <t>P1366</t>
  </si>
  <si>
    <t>East Plus</t>
  </si>
  <si>
    <t>P1367</t>
  </si>
  <si>
    <t>Baby Max</t>
  </si>
  <si>
    <t>P1368</t>
  </si>
  <si>
    <t>Person Max</t>
  </si>
  <si>
    <t>P1369</t>
  </si>
  <si>
    <t>Reason Pro</t>
  </si>
  <si>
    <t>P1370</t>
  </si>
  <si>
    <t>Especially Pro</t>
  </si>
  <si>
    <t>P1371</t>
  </si>
  <si>
    <t>Source Max</t>
  </si>
  <si>
    <t>P1372</t>
  </si>
  <si>
    <t>Woman Plus</t>
  </si>
  <si>
    <t>P1373</t>
  </si>
  <si>
    <t>Itself Plus</t>
  </si>
  <si>
    <t>P1374</t>
  </si>
  <si>
    <t>Can X</t>
  </si>
  <si>
    <t>P1375</t>
  </si>
  <si>
    <t>Truth Plus</t>
  </si>
  <si>
    <t>P1376</t>
  </si>
  <si>
    <t>P1377</t>
  </si>
  <si>
    <t>Foot X</t>
  </si>
  <si>
    <t>P1378</t>
  </si>
  <si>
    <t>Task X</t>
  </si>
  <si>
    <t>P1379</t>
  </si>
  <si>
    <t>Worry Max</t>
  </si>
  <si>
    <t>P1380</t>
  </si>
  <si>
    <t>Inside Lite</t>
  </si>
  <si>
    <t>P1381</t>
  </si>
  <si>
    <t>P1382</t>
  </si>
  <si>
    <t>During Plus</t>
  </si>
  <si>
    <t>P1383</t>
  </si>
  <si>
    <t>People Plus</t>
  </si>
  <si>
    <t>P1384</t>
  </si>
  <si>
    <t>Garden X</t>
  </si>
  <si>
    <t>P1385</t>
  </si>
  <si>
    <t>Painting Max</t>
  </si>
  <si>
    <t>P1386</t>
  </si>
  <si>
    <t>Time Max</t>
  </si>
  <si>
    <t>P1387</t>
  </si>
  <si>
    <t>Popular Pro</t>
  </si>
  <si>
    <t>P1388</t>
  </si>
  <si>
    <t>Southern X</t>
  </si>
  <si>
    <t>P1389</t>
  </si>
  <si>
    <t>Money Pro</t>
  </si>
  <si>
    <t>P1390</t>
  </si>
  <si>
    <t>Mr Max</t>
  </si>
  <si>
    <t>P1391</t>
  </si>
  <si>
    <t>Memory Pro</t>
  </si>
  <si>
    <t>P1392</t>
  </si>
  <si>
    <t>Material X</t>
  </si>
  <si>
    <t>P1393</t>
  </si>
  <si>
    <t>Whatever Plus</t>
  </si>
  <si>
    <t>P1394</t>
  </si>
  <si>
    <t>Tend Plus</t>
  </si>
  <si>
    <t>P1395</t>
  </si>
  <si>
    <t>Leg X</t>
  </si>
  <si>
    <t>P1396</t>
  </si>
  <si>
    <t>Structure Max</t>
  </si>
  <si>
    <t>P1397</t>
  </si>
  <si>
    <t>Notice Max</t>
  </si>
  <si>
    <t>P1398</t>
  </si>
  <si>
    <t>Quality Plus</t>
  </si>
  <si>
    <t>P1399</t>
  </si>
  <si>
    <t>Whose Plus</t>
  </si>
  <si>
    <t>P1400</t>
  </si>
  <si>
    <t>Politics Pro</t>
  </si>
  <si>
    <t>P1401</t>
  </si>
  <si>
    <t>Hospital Lite</t>
  </si>
  <si>
    <t>P1402</t>
  </si>
  <si>
    <t>Technology X</t>
  </si>
  <si>
    <t>P1403</t>
  </si>
  <si>
    <t>War Pro</t>
  </si>
  <si>
    <t>P1404</t>
  </si>
  <si>
    <t>Bag Lite</t>
  </si>
  <si>
    <t>P1405</t>
  </si>
  <si>
    <t>Create X</t>
  </si>
  <si>
    <t>P1406</t>
  </si>
  <si>
    <t>P1407</t>
  </si>
  <si>
    <t>Message X</t>
  </si>
  <si>
    <t>P1408</t>
  </si>
  <si>
    <t>He Plus</t>
  </si>
  <si>
    <t>P1409</t>
  </si>
  <si>
    <t>Argue Plus</t>
  </si>
  <si>
    <t>P1410</t>
  </si>
  <si>
    <t>Tough Pro</t>
  </si>
  <si>
    <t>P1411</t>
  </si>
  <si>
    <t>Value Plus</t>
  </si>
  <si>
    <t>P1412</t>
  </si>
  <si>
    <t>Establish Pro</t>
  </si>
  <si>
    <t>P1413</t>
  </si>
  <si>
    <t>Interesting Pro</t>
  </si>
  <si>
    <t>P1414</t>
  </si>
  <si>
    <t>Eye Plus</t>
  </si>
  <si>
    <t>P1415</t>
  </si>
  <si>
    <t>Majority Pro</t>
  </si>
  <si>
    <t>P1416</t>
  </si>
  <si>
    <t>Stop X</t>
  </si>
  <si>
    <t>P1417</t>
  </si>
  <si>
    <t>Fish Plus</t>
  </si>
  <si>
    <t>P1418</t>
  </si>
  <si>
    <t>Left X</t>
  </si>
  <si>
    <t>P1419</t>
  </si>
  <si>
    <t>Wear Plus</t>
  </si>
  <si>
    <t>P1420</t>
  </si>
  <si>
    <t>P1421</t>
  </si>
  <si>
    <t>Boy Plus</t>
  </si>
  <si>
    <t>P1422</t>
  </si>
  <si>
    <t>Always Max</t>
  </si>
  <si>
    <t>P1423</t>
  </si>
  <si>
    <t>Travel Lite</t>
  </si>
  <si>
    <t>P1424</t>
  </si>
  <si>
    <t>Into Pro</t>
  </si>
  <si>
    <t>P1425</t>
  </si>
  <si>
    <t>As X</t>
  </si>
  <si>
    <t>P1426</t>
  </si>
  <si>
    <t>Culture Max</t>
  </si>
  <si>
    <t>P1427</t>
  </si>
  <si>
    <t>P1428</t>
  </si>
  <si>
    <t>Statement Pro</t>
  </si>
  <si>
    <t>P1429</t>
  </si>
  <si>
    <t>Its Pro</t>
  </si>
  <si>
    <t>P1430</t>
  </si>
  <si>
    <t>Military Max</t>
  </si>
  <si>
    <t>P1431</t>
  </si>
  <si>
    <t>Range Pro</t>
  </si>
  <si>
    <t>P1432</t>
  </si>
  <si>
    <t>Remember Max</t>
  </si>
  <si>
    <t>P1433</t>
  </si>
  <si>
    <t>Agency Max</t>
  </si>
  <si>
    <t>P1434</t>
  </si>
  <si>
    <t>Best Lite</t>
  </si>
  <si>
    <t>P1435</t>
  </si>
  <si>
    <t>International Max</t>
  </si>
  <si>
    <t>P1436</t>
  </si>
  <si>
    <t>Region Max</t>
  </si>
  <si>
    <t>P1437</t>
  </si>
  <si>
    <t>On X</t>
  </si>
  <si>
    <t>P1438</t>
  </si>
  <si>
    <t>Large Pro</t>
  </si>
  <si>
    <t>P1439</t>
  </si>
  <si>
    <t>P1440</t>
  </si>
  <si>
    <t>Them Plus</t>
  </si>
  <si>
    <t>P1441</t>
  </si>
  <si>
    <t>Because X</t>
  </si>
  <si>
    <t>P1442</t>
  </si>
  <si>
    <t>Green Plus</t>
  </si>
  <si>
    <t>P1443</t>
  </si>
  <si>
    <t>Speech Plus</t>
  </si>
  <si>
    <t>P1444</t>
  </si>
  <si>
    <t>Direction X</t>
  </si>
  <si>
    <t>P1445</t>
  </si>
  <si>
    <t>Reduce Max</t>
  </si>
  <si>
    <t>P1446</t>
  </si>
  <si>
    <t>Design X</t>
  </si>
  <si>
    <t>P1447</t>
  </si>
  <si>
    <t>Gun Plus</t>
  </si>
  <si>
    <t>P1448</t>
  </si>
  <si>
    <t>Act Max</t>
  </si>
  <si>
    <t>P1449</t>
  </si>
  <si>
    <t>Tree Max</t>
  </si>
  <si>
    <t>P1450</t>
  </si>
  <si>
    <t>Keep X</t>
  </si>
  <si>
    <t>P1451</t>
  </si>
  <si>
    <t>Answer Plus</t>
  </si>
  <si>
    <t>P1452</t>
  </si>
  <si>
    <t>Such Max</t>
  </si>
  <si>
    <t>P1453</t>
  </si>
  <si>
    <t>With Max</t>
  </si>
  <si>
    <t>P1454</t>
  </si>
  <si>
    <t>Catch X</t>
  </si>
  <si>
    <t>P1455</t>
  </si>
  <si>
    <t>How X</t>
  </si>
  <si>
    <t>P1456</t>
  </si>
  <si>
    <t>Either X</t>
  </si>
  <si>
    <t>P1457</t>
  </si>
  <si>
    <t>Here Pro</t>
  </si>
  <si>
    <t>P1458</t>
  </si>
  <si>
    <t>P1459</t>
  </si>
  <si>
    <t>Administration Pro</t>
  </si>
  <si>
    <t>P1460</t>
  </si>
  <si>
    <t>Dog Max</t>
  </si>
  <si>
    <t>P1461</t>
  </si>
  <si>
    <t>Morning Pro</t>
  </si>
  <si>
    <t>P1462</t>
  </si>
  <si>
    <t>Age Pro</t>
  </si>
  <si>
    <t>P1463</t>
  </si>
  <si>
    <t>Success Plus</t>
  </si>
  <si>
    <t>P1464</t>
  </si>
  <si>
    <t>Nature Max</t>
  </si>
  <si>
    <t>P1465</t>
  </si>
  <si>
    <t>Training Max</t>
  </si>
  <si>
    <t>P1466</t>
  </si>
  <si>
    <t>P1467</t>
  </si>
  <si>
    <t>Ten Max</t>
  </si>
  <si>
    <t>P1468</t>
  </si>
  <si>
    <t>Whether X</t>
  </si>
  <si>
    <t>P1469</t>
  </si>
  <si>
    <t>About Max</t>
  </si>
  <si>
    <t>P1470</t>
  </si>
  <si>
    <t>Another X</t>
  </si>
  <si>
    <t>P1471</t>
  </si>
  <si>
    <t>Try Pro</t>
  </si>
  <si>
    <t>P1472</t>
  </si>
  <si>
    <t>Same Max</t>
  </si>
  <si>
    <t>P1473</t>
  </si>
  <si>
    <t>Cold Max</t>
  </si>
  <si>
    <t>P1474</t>
  </si>
  <si>
    <t>Note Max</t>
  </si>
  <si>
    <t>P1475</t>
  </si>
  <si>
    <t>Nature Plus</t>
  </si>
  <si>
    <t>P1476</t>
  </si>
  <si>
    <t>Suggest Lite</t>
  </si>
  <si>
    <t>P1477</t>
  </si>
  <si>
    <t>Authority Plus</t>
  </si>
  <si>
    <t>P1478</t>
  </si>
  <si>
    <t>Nothing Max</t>
  </si>
  <si>
    <t>P1479</t>
  </si>
  <si>
    <t>P1480</t>
  </si>
  <si>
    <t>Far X</t>
  </si>
  <si>
    <t>P1481</t>
  </si>
  <si>
    <t>Rest Lite</t>
  </si>
  <si>
    <t>P1482</t>
  </si>
  <si>
    <t>Production X</t>
  </si>
  <si>
    <t>P1483</t>
  </si>
  <si>
    <t>Land Max</t>
  </si>
  <si>
    <t>P1484</t>
  </si>
  <si>
    <t>Course Plus</t>
  </si>
  <si>
    <t>P1485</t>
  </si>
  <si>
    <t>Sense Pro</t>
  </si>
  <si>
    <t>P1486</t>
  </si>
  <si>
    <t>Assume X</t>
  </si>
  <si>
    <t>P1487</t>
  </si>
  <si>
    <t>They Lite</t>
  </si>
  <si>
    <t>P1488</t>
  </si>
  <si>
    <t>Office Plus</t>
  </si>
  <si>
    <t>P1489</t>
  </si>
  <si>
    <t>Look X</t>
  </si>
  <si>
    <t>P1490</t>
  </si>
  <si>
    <t>Message Lite</t>
  </si>
  <si>
    <t>P1491</t>
  </si>
  <si>
    <t>For Plus</t>
  </si>
  <si>
    <t>P1492</t>
  </si>
  <si>
    <t>Financial Max</t>
  </si>
  <si>
    <t>P1493</t>
  </si>
  <si>
    <t>Boy X</t>
  </si>
  <si>
    <t>P1494</t>
  </si>
  <si>
    <t>Run Lite</t>
  </si>
  <si>
    <t>P1495</t>
  </si>
  <si>
    <t>Available Pro</t>
  </si>
  <si>
    <t>P1496</t>
  </si>
  <si>
    <t>Thousand X</t>
  </si>
  <si>
    <t>P1497</t>
  </si>
  <si>
    <t>Cell Lite</t>
  </si>
  <si>
    <t>P1498</t>
  </si>
  <si>
    <t>Future Pro</t>
  </si>
  <si>
    <t>P1499</t>
  </si>
  <si>
    <t>ok</t>
  </si>
  <si>
    <t>Month</t>
  </si>
  <si>
    <t>Year</t>
  </si>
  <si>
    <t>Row Labels</t>
  </si>
  <si>
    <t>Grand Total</t>
  </si>
  <si>
    <t>Sum of Revenue</t>
  </si>
  <si>
    <t>Sum of Units_Sold</t>
  </si>
  <si>
    <t>Highest</t>
  </si>
  <si>
    <t>Units sold</t>
  </si>
  <si>
    <t>Lowest</t>
  </si>
  <si>
    <t>Unknown</t>
  </si>
  <si>
    <t>April</t>
  </si>
  <si>
    <t>-</t>
  </si>
  <si>
    <t>November</t>
  </si>
  <si>
    <t>December</t>
  </si>
  <si>
    <t>Category Wise Analysis</t>
  </si>
  <si>
    <t>Year Wise Analsysis</t>
  </si>
  <si>
    <t>Highest Revenue Product Details</t>
  </si>
  <si>
    <t>Lowest Revenue Product Details</t>
  </si>
  <si>
    <t>Highest Units Sold Product Details</t>
  </si>
  <si>
    <t>Lowest Units Sold Product Details</t>
  </si>
  <si>
    <t>Highest Unit Price Product Details</t>
  </si>
  <si>
    <t>Lowest Unit Price Product Details</t>
  </si>
  <si>
    <t>Month Wise Analysis</t>
  </si>
  <si>
    <t>Day</t>
  </si>
  <si>
    <t>Day Name</t>
  </si>
  <si>
    <t>Fri</t>
  </si>
  <si>
    <t>Mon</t>
  </si>
  <si>
    <t>Sat</t>
  </si>
  <si>
    <t>Sun</t>
  </si>
  <si>
    <t>Thu</t>
  </si>
  <si>
    <t>Tue</t>
  </si>
  <si>
    <t>Wed</t>
  </si>
  <si>
    <t>Day Wise Analysis</t>
  </si>
  <si>
    <t>Day wise Analysis</t>
  </si>
  <si>
    <t>_</t>
  </si>
  <si>
    <t>Average of Units_Sold</t>
  </si>
  <si>
    <t>Average of Unit_Price</t>
  </si>
  <si>
    <t>Average of Revenue</t>
  </si>
  <si>
    <t>Total Revenue is 6,27,86,866.71</t>
  </si>
  <si>
    <t>Total No of Units sold 251554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</si>
</sst>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-0.249977111117893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63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  <xf numFmtId="164" fontId="1" fillId="2" borderId="2" xfId="0" applyNumberFormat="1" applyFont="1" applyFill="1" applyBorder="1"/>
    <xf numFmtId="0" fontId="0" fillId="0" borderId="3" xfId="0" applyBorder="1"/>
    <xf numFmtId="0" fontId="1" fillId="2" borderId="0" xfId="0" applyFont="1" applyFill="1"/>
    <xf numFmtId="0" fontId="0" fillId="3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3" fillId="5" borderId="4" xfId="0" applyFont="1" applyFill="1" applyBorder="1"/>
    <xf numFmtId="164" fontId="3" fillId="5" borderId="4" xfId="0" applyNumberFormat="1" applyFont="1" applyFill="1" applyBorder="1"/>
    <xf numFmtId="0" fontId="4" fillId="6" borderId="4" xfId="0" applyFont="1" applyFill="1" applyBorder="1"/>
    <xf numFmtId="0" fontId="0" fillId="10" borderId="0" xfId="0" applyFill="1"/>
    <xf numFmtId="0" fontId="1" fillId="2" borderId="4" xfId="0" applyFont="1" applyFill="1" applyBorder="1"/>
    <xf numFmtId="164" fontId="1" fillId="2" borderId="4" xfId="0" applyNumberFormat="1" applyFont="1" applyFill="1" applyBorder="1"/>
    <xf numFmtId="14" fontId="1" fillId="2" borderId="4" xfId="0" applyNumberFormat="1" applyFont="1" applyFill="1" applyBorder="1"/>
    <xf numFmtId="0" fontId="0" fillId="3" borderId="4" xfId="0" applyFill="1" applyBorder="1"/>
    <xf numFmtId="164" fontId="0" fillId="3" borderId="4" xfId="0" applyNumberFormat="1" applyFill="1" applyBorder="1"/>
    <xf numFmtId="14" fontId="0" fillId="3" borderId="4" xfId="0" applyNumberFormat="1" applyFill="1" applyBorder="1"/>
    <xf numFmtId="164" fontId="0" fillId="10" borderId="0" xfId="0" applyNumberFormat="1" applyFill="1"/>
    <xf numFmtId="0" fontId="2" fillId="8" borderId="5" xfId="0" applyFont="1" applyFill="1" applyBorder="1"/>
    <xf numFmtId="0" fontId="2" fillId="8" borderId="7" xfId="0" applyFont="1" applyFill="1" applyBorder="1"/>
    <xf numFmtId="0" fontId="2" fillId="9" borderId="8" xfId="0" applyFont="1" applyFill="1" applyBorder="1"/>
    <xf numFmtId="0" fontId="2" fillId="9" borderId="9" xfId="0" applyFont="1" applyFill="1" applyBorder="1"/>
    <xf numFmtId="0" fontId="2" fillId="9" borderId="10" xfId="0" applyFont="1" applyFill="1" applyBorder="1"/>
    <xf numFmtId="0" fontId="0" fillId="9" borderId="9" xfId="0" applyFill="1" applyBorder="1"/>
    <xf numFmtId="0" fontId="0" fillId="9" borderId="10" xfId="0" applyFill="1" applyBorder="1"/>
    <xf numFmtId="0" fontId="6" fillId="4" borderId="5" xfId="0" applyFont="1" applyFill="1" applyBorder="1"/>
    <xf numFmtId="0" fontId="6" fillId="4" borderId="6" xfId="0" applyFont="1" applyFill="1" applyBorder="1"/>
    <xf numFmtId="0" fontId="6" fillId="4" borderId="7" xfId="0" applyFont="1" applyFill="1" applyBorder="1"/>
    <xf numFmtId="0" fontId="1" fillId="2" borderId="11" xfId="0" applyFont="1" applyFill="1" applyBorder="1"/>
    <xf numFmtId="0" fontId="0" fillId="3" borderId="11" xfId="0" applyFill="1" applyBorder="1"/>
    <xf numFmtId="0" fontId="0" fillId="6" borderId="4" xfId="0" applyFill="1" applyBorder="1"/>
    <xf numFmtId="0" fontId="0" fillId="11" borderId="4" xfId="0" applyFill="1" applyBorder="1"/>
    <xf numFmtId="0" fontId="2" fillId="12" borderId="4" xfId="0" applyFont="1" applyFill="1" applyBorder="1"/>
    <xf numFmtId="0" fontId="2" fillId="8" borderId="4" xfId="0" applyFont="1" applyFill="1" applyBorder="1"/>
    <xf numFmtId="0" fontId="5" fillId="13" borderId="4" xfId="0" applyFont="1" applyFill="1" applyBorder="1"/>
    <xf numFmtId="0" fontId="2" fillId="13" borderId="4" xfId="0" applyFont="1" applyFill="1" applyBorder="1"/>
    <xf numFmtId="49" fontId="2" fillId="0" borderId="0" xfId="0" applyNumberFormat="1" applyFont="1"/>
    <xf numFmtId="0" fontId="2" fillId="10" borderId="0" xfId="0" applyFont="1" applyFill="1"/>
    <xf numFmtId="0" fontId="2" fillId="7" borderId="4" xfId="0" applyFont="1" applyFill="1" applyBorder="1" applyAlignment="1">
      <alignment horizontal="left"/>
    </xf>
    <xf numFmtId="164" fontId="2" fillId="7" borderId="0" xfId="0" applyNumberFormat="1" applyFont="1" applyFill="1"/>
    <xf numFmtId="0" fontId="2" fillId="7" borderId="0" xfId="0" applyFont="1" applyFill="1"/>
    <xf numFmtId="0" fontId="2" fillId="5" borderId="0" xfId="0" applyFont="1" applyFill="1"/>
    <xf numFmtId="164" fontId="2" fillId="5" borderId="0" xfId="0" applyNumberFormat="1" applyFont="1" applyFill="1"/>
    <xf numFmtId="0" fontId="2" fillId="6" borderId="0" xfId="0" applyFont="1" applyFill="1"/>
    <xf numFmtId="164" fontId="2" fillId="6" borderId="0" xfId="0" applyNumberFormat="1" applyFont="1" applyFill="1"/>
    <xf numFmtId="0" fontId="5" fillId="14" borderId="4" xfId="0" applyFont="1" applyFill="1" applyBorder="1"/>
    <xf numFmtId="164" fontId="5" fillId="14" borderId="4" xfId="0" applyNumberFormat="1" applyFont="1" applyFill="1" applyBorder="1"/>
    <xf numFmtId="0" fontId="2" fillId="14" borderId="0" xfId="0" applyFont="1" applyFill="1"/>
    <xf numFmtId="164" fontId="2" fillId="14" borderId="0" xfId="0" applyNumberFormat="1" applyFont="1" applyFill="1"/>
    <xf numFmtId="0" fontId="2" fillId="14" borderId="4" xfId="0" applyFont="1" applyFill="1" applyBorder="1"/>
    <xf numFmtId="0" fontId="2" fillId="15" borderId="4" xfId="0" applyFont="1" applyFill="1" applyBorder="1"/>
    <xf numFmtId="0" fontId="2" fillId="15" borderId="4" xfId="0" applyFont="1" applyFill="1" applyBorder="1" applyAlignment="1">
      <alignment horizontal="left"/>
    </xf>
    <xf numFmtId="164" fontId="2" fillId="15" borderId="4" xfId="0" applyNumberFormat="1" applyFont="1" applyFill="1" applyBorder="1"/>
    <xf numFmtId="164" fontId="0" fillId="15" borderId="0" xfId="0" applyNumberFormat="1" applyFill="1"/>
    <xf numFmtId="0" fontId="0" fillId="15" borderId="0" xfId="0" applyFill="1"/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64" formatCode="&quot;₹&quot;\ #,##0.00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amsi Krishna" refreshedDate="45939.023018865744" createdVersion="8" refreshedVersion="8" minRefreshableVersion="3" recordCount="500" xr:uid="{86383FF6-7FC6-47AF-B021-19E1FC522200}">
  <cacheSource type="worksheet">
    <worksheetSource name="product_performance_data"/>
  </cacheSource>
  <cacheFields count="10">
    <cacheField name="Product_ID" numFmtId="0">
      <sharedItems/>
    </cacheField>
    <cacheField name="Product_Name" numFmtId="0">
      <sharedItems/>
    </cacheField>
    <cacheField name="Category" numFmtId="0">
      <sharedItems count="7">
        <s v="Beauty"/>
        <s v="Sports"/>
        <s v="Electronics"/>
        <s v="Clothing"/>
        <s v="Home &amp; Kitchen"/>
        <s v="unknown"/>
        <s v="Automotive"/>
      </sharedItems>
    </cacheField>
    <cacheField name="Units_Sold" numFmtId="0">
      <sharedItems containsSemiMixedTypes="0" containsString="0" containsNumber="1" containsInteger="1" minValue="11" maxValue="999"/>
    </cacheField>
    <cacheField name="Unit_Price" numFmtId="0">
      <sharedItems containsSemiMixedTypes="0" containsString="0" containsNumber="1" minValue="6.28" maxValue="498.64"/>
    </cacheField>
    <cacheField name="Date_Sold" numFmtId="14">
      <sharedItems containsSemiMixedTypes="0" containsNonDate="0" containsDate="1" containsString="0" minDate="2023-01-01T00:00:00" maxDate="2025-12-30T00:00:00"/>
    </cacheField>
    <cacheField name="Revenue" numFmtId="164">
      <sharedItems containsSemiMixedTypes="0" containsString="0" containsNumber="1" minValue="1544.1" maxValue="472714.9"/>
    </cacheField>
    <cacheField name="Month" numFmtId="0">
      <sharedItems containsSemiMixedTypes="0" containsString="0" containsNumber="1" containsInteger="1" minValue="1" maxValue="12" count="12">
        <n v="1"/>
        <n v="11"/>
        <n v="8"/>
        <n v="5"/>
        <n v="2"/>
        <n v="9"/>
        <n v="4"/>
        <n v="10"/>
        <n v="7"/>
        <n v="6"/>
        <n v="3"/>
        <n v="12"/>
      </sharedItems>
    </cacheField>
    <cacheField name="Year" numFmtId="0">
      <sharedItems containsSemiMixedTypes="0" containsString="0" containsNumber="1" containsInteger="1" minValue="2023" maxValue="2025" count="3">
        <n v="2023"/>
        <n v="2024"/>
        <n v="2025"/>
      </sharedItems>
    </cacheField>
    <cacheField name="Day Name" numFmtId="0">
      <sharedItems count="7">
        <s v="Sun"/>
        <s v="Sat"/>
        <s v="Thu"/>
        <s v="Wed"/>
        <s v="Fri"/>
        <s v="Mon"/>
        <s v="Tu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P1000"/>
    <s v="Food Max"/>
    <x v="0"/>
    <n v="112"/>
    <n v="108.41"/>
    <d v="2023-01-01T00:00:00"/>
    <n v="12141.92"/>
    <x v="0"/>
    <x v="0"/>
    <x v="0"/>
  </r>
  <r>
    <s v="P1001"/>
    <s v="Morning X"/>
    <x v="1"/>
    <n v="445"/>
    <n v="337.22"/>
    <d v="2024-11-02T00:00:00"/>
    <n v="150062.90000000002"/>
    <x v="1"/>
    <x v="1"/>
    <x v="1"/>
  </r>
  <r>
    <s v="P1002"/>
    <s v="Big X"/>
    <x v="1"/>
    <n v="870"/>
    <n v="182.53"/>
    <d v="2024-08-15T00:00:00"/>
    <n v="158801.1"/>
    <x v="2"/>
    <x v="1"/>
    <x v="2"/>
  </r>
  <r>
    <s v="P1003"/>
    <s v="Take Max"/>
    <x v="1"/>
    <n v="280"/>
    <n v="130.81"/>
    <d v="2024-05-15T00:00:00"/>
    <n v="36626.800000000003"/>
    <x v="3"/>
    <x v="1"/>
    <x v="3"/>
  </r>
  <r>
    <s v="P1004"/>
    <s v="Admit Pro"/>
    <x v="0"/>
    <n v="116"/>
    <n v="151.16999999999999"/>
    <d v="2025-01-02T00:00:00"/>
    <n v="17535.719999999998"/>
    <x v="0"/>
    <x v="2"/>
    <x v="2"/>
  </r>
  <r>
    <s v="P1005"/>
    <s v="In X"/>
    <x v="1"/>
    <n v="81"/>
    <n v="164.66"/>
    <d v="2023-02-24T00:00:00"/>
    <n v="13337.46"/>
    <x v="4"/>
    <x v="0"/>
    <x v="4"/>
  </r>
  <r>
    <s v="P1006"/>
    <s v="Increase Lite"/>
    <x v="2"/>
    <n v="710"/>
    <n v="425.09"/>
    <d v="2023-09-09T00:00:00"/>
    <n v="301813.89999999997"/>
    <x v="5"/>
    <x v="0"/>
    <x v="1"/>
  </r>
  <r>
    <s v="P1007"/>
    <s v="Court X"/>
    <x v="2"/>
    <n v="30"/>
    <n v="72.63"/>
    <d v="2025-08-30T00:00:00"/>
    <n v="2178.8999999999996"/>
    <x v="2"/>
    <x v="2"/>
    <x v="1"/>
  </r>
  <r>
    <s v="P1008"/>
    <s v="Others Max"/>
    <x v="2"/>
    <n v="624"/>
    <n v="355.91"/>
    <d v="2024-09-09T00:00:00"/>
    <n v="222087.84000000003"/>
    <x v="5"/>
    <x v="1"/>
    <x v="5"/>
  </r>
  <r>
    <s v="P1009"/>
    <s v="Our X"/>
    <x v="3"/>
    <n v="131"/>
    <n v="278.64999999999998"/>
    <d v="2024-11-19T00:00:00"/>
    <n v="36503.149999999994"/>
    <x v="1"/>
    <x v="1"/>
    <x v="6"/>
  </r>
  <r>
    <s v="P1010"/>
    <s v="Our Plus"/>
    <x v="0"/>
    <n v="476"/>
    <n v="151.77000000000001"/>
    <d v="2025-04-04T00:00:00"/>
    <n v="72242.52"/>
    <x v="6"/>
    <x v="2"/>
    <x v="4"/>
  </r>
  <r>
    <s v="P1011"/>
    <s v="Senior Plus"/>
    <x v="0"/>
    <n v="224"/>
    <n v="212.79"/>
    <d v="2023-10-02T00:00:00"/>
    <n v="47664.959999999999"/>
    <x v="7"/>
    <x v="0"/>
    <x v="5"/>
  </r>
  <r>
    <s v="P1012"/>
    <s v="Too Plus"/>
    <x v="4"/>
    <n v="340"/>
    <n v="131.82"/>
    <d v="2023-10-05T00:00:00"/>
    <n v="44818.799999999996"/>
    <x v="7"/>
    <x v="0"/>
    <x v="2"/>
  </r>
  <r>
    <s v="P1013"/>
    <s v="Staff X"/>
    <x v="2"/>
    <n v="468"/>
    <n v="307.7"/>
    <d v="2023-07-06T00:00:00"/>
    <n v="144003.6"/>
    <x v="8"/>
    <x v="0"/>
    <x v="2"/>
  </r>
  <r>
    <s v="P1014"/>
    <s v="Kind Lite"/>
    <x v="1"/>
    <n v="97"/>
    <n v="45.39"/>
    <d v="2025-07-02T00:00:00"/>
    <n v="4402.83"/>
    <x v="8"/>
    <x v="2"/>
    <x v="3"/>
  </r>
  <r>
    <s v="P1015"/>
    <s v="Into X"/>
    <x v="1"/>
    <n v="382"/>
    <n v="7.57"/>
    <d v="2025-07-20T00:00:00"/>
    <n v="2891.7400000000002"/>
    <x v="8"/>
    <x v="2"/>
    <x v="0"/>
  </r>
  <r>
    <s v="P1016"/>
    <s v="Wear Max"/>
    <x v="1"/>
    <n v="109"/>
    <n v="315.81"/>
    <d v="2023-05-14T00:00:00"/>
    <n v="34423.29"/>
    <x v="3"/>
    <x v="0"/>
    <x v="0"/>
  </r>
  <r>
    <s v="P1017"/>
    <s v="Get Max"/>
    <x v="3"/>
    <n v="881"/>
    <n v="101.17"/>
    <d v="2025-04-11T00:00:00"/>
    <n v="89130.77"/>
    <x v="6"/>
    <x v="2"/>
    <x v="4"/>
  </r>
  <r>
    <s v="P1018"/>
    <s v="Prevent Pro"/>
    <x v="3"/>
    <n v="673"/>
    <n v="40.119999999999997"/>
    <d v="2024-06-24T00:00:00"/>
    <n v="27000.76"/>
    <x v="9"/>
    <x v="1"/>
    <x v="5"/>
  </r>
  <r>
    <s v="P1019"/>
    <s v="Try Lite"/>
    <x v="1"/>
    <n v="140"/>
    <n v="201.41"/>
    <d v="2024-04-13T00:00:00"/>
    <n v="28197.399999999998"/>
    <x v="6"/>
    <x v="1"/>
    <x v="1"/>
  </r>
  <r>
    <s v="P1020"/>
    <s v="Tree Plus"/>
    <x v="2"/>
    <n v="671"/>
    <n v="30.13"/>
    <d v="2024-03-24T00:00:00"/>
    <n v="20217.23"/>
    <x v="10"/>
    <x v="1"/>
    <x v="0"/>
  </r>
  <r>
    <s v="P1021"/>
    <s v="Officer Pro"/>
    <x v="3"/>
    <n v="318"/>
    <n v="443.88"/>
    <d v="2023-01-24T00:00:00"/>
    <n v="141153.84"/>
    <x v="0"/>
    <x v="0"/>
    <x v="6"/>
  </r>
  <r>
    <s v="P1022"/>
    <s v="School Max"/>
    <x v="4"/>
    <n v="779"/>
    <n v="18.670000000000002"/>
    <d v="2025-04-04T00:00:00"/>
    <n v="14543.930000000002"/>
    <x v="6"/>
    <x v="2"/>
    <x v="4"/>
  </r>
  <r>
    <s v="P1023"/>
    <s v="Night Plus"/>
    <x v="5"/>
    <n v="353"/>
    <n v="291.54000000000002"/>
    <d v="2025-03-20T00:00:00"/>
    <n v="102913.62000000001"/>
    <x v="10"/>
    <x v="2"/>
    <x v="2"/>
  </r>
  <r>
    <s v="P1024"/>
    <s v="Step Plus"/>
    <x v="6"/>
    <n v="501"/>
    <n v="222.04"/>
    <d v="2024-05-17T00:00:00"/>
    <n v="111242.04"/>
    <x v="3"/>
    <x v="1"/>
    <x v="4"/>
  </r>
  <r>
    <s v="P1025"/>
    <s v="Member X"/>
    <x v="4"/>
    <n v="423"/>
    <n v="337.65"/>
    <d v="2023-12-06T00:00:00"/>
    <n v="142825.94999999998"/>
    <x v="11"/>
    <x v="0"/>
    <x v="3"/>
  </r>
  <r>
    <s v="P1026"/>
    <s v="Source Plus"/>
    <x v="4"/>
    <n v="815"/>
    <n v="167.44"/>
    <d v="2025-09-28T00:00:00"/>
    <n v="136463.6"/>
    <x v="5"/>
    <x v="2"/>
    <x v="0"/>
  </r>
  <r>
    <s v="P1027"/>
    <s v="Explain Lite"/>
    <x v="2"/>
    <n v="507"/>
    <n v="81.75"/>
    <d v="2024-01-18T00:00:00"/>
    <n v="32291.25"/>
    <x v="0"/>
    <x v="1"/>
    <x v="2"/>
  </r>
  <r>
    <s v="P1028"/>
    <s v="Your X"/>
    <x v="2"/>
    <n v="201"/>
    <n v="491.01"/>
    <d v="2023-04-02T00:00:00"/>
    <n v="98693.01"/>
    <x v="6"/>
    <x v="0"/>
    <x v="0"/>
  </r>
  <r>
    <s v="P1029"/>
    <s v="Wall Lite"/>
    <x v="6"/>
    <n v="965"/>
    <n v="420.27"/>
    <d v="2023-11-08T00:00:00"/>
    <n v="405560.55"/>
    <x v="1"/>
    <x v="0"/>
    <x v="3"/>
  </r>
  <r>
    <s v="P1030"/>
    <s v="Stay Plus"/>
    <x v="1"/>
    <n v="286"/>
    <n v="430.9"/>
    <d v="2024-07-09T00:00:00"/>
    <n v="123237.4"/>
    <x v="8"/>
    <x v="1"/>
    <x v="6"/>
  </r>
  <r>
    <s v="P1031"/>
    <s v="Child Plus"/>
    <x v="2"/>
    <n v="170"/>
    <n v="128.87"/>
    <d v="2025-05-30T00:00:00"/>
    <n v="21907.9"/>
    <x v="3"/>
    <x v="2"/>
    <x v="4"/>
  </r>
  <r>
    <s v="P1032"/>
    <s v="Miss Max"/>
    <x v="0"/>
    <n v="469"/>
    <n v="24.22"/>
    <d v="2024-12-12T00:00:00"/>
    <n v="11359.18"/>
    <x v="11"/>
    <x v="1"/>
    <x v="2"/>
  </r>
  <r>
    <s v="P1033"/>
    <s v="Family Lite"/>
    <x v="4"/>
    <n v="323"/>
    <n v="155.12"/>
    <d v="2025-07-17T00:00:00"/>
    <n v="50103.76"/>
    <x v="8"/>
    <x v="2"/>
    <x v="2"/>
  </r>
  <r>
    <s v="P1034"/>
    <s v="Treat Lite"/>
    <x v="2"/>
    <n v="31"/>
    <n v="270.86"/>
    <d v="2023-04-03T00:00:00"/>
    <n v="8396.66"/>
    <x v="6"/>
    <x v="0"/>
    <x v="5"/>
  </r>
  <r>
    <s v="P1035"/>
    <s v="Foot Lite"/>
    <x v="0"/>
    <n v="262"/>
    <n v="166.69"/>
    <d v="2025-05-01T00:00:00"/>
    <n v="43672.78"/>
    <x v="3"/>
    <x v="2"/>
    <x v="2"/>
  </r>
  <r>
    <s v="P1036"/>
    <s v="Each X"/>
    <x v="6"/>
    <n v="757"/>
    <n v="414.8"/>
    <d v="2025-01-30T00:00:00"/>
    <n v="314003.60000000003"/>
    <x v="0"/>
    <x v="2"/>
    <x v="2"/>
  </r>
  <r>
    <s v="P1037"/>
    <s v="Soldier X"/>
    <x v="0"/>
    <n v="866"/>
    <n v="139.41"/>
    <d v="2024-07-17T00:00:00"/>
    <n v="120729.06"/>
    <x v="8"/>
    <x v="1"/>
    <x v="3"/>
  </r>
  <r>
    <s v="P1038"/>
    <s v="Mention Pro"/>
    <x v="0"/>
    <n v="570"/>
    <n v="482.8"/>
    <d v="2024-08-28T00:00:00"/>
    <n v="275196"/>
    <x v="2"/>
    <x v="1"/>
    <x v="3"/>
  </r>
  <r>
    <s v="P1039"/>
    <s v="Hit Plus"/>
    <x v="4"/>
    <n v="484"/>
    <n v="231.35"/>
    <d v="2025-08-17T00:00:00"/>
    <n v="111973.4"/>
    <x v="2"/>
    <x v="2"/>
    <x v="0"/>
  </r>
  <r>
    <s v="P1040"/>
    <s v="Sign Lite"/>
    <x v="3"/>
    <n v="68"/>
    <n v="421.8"/>
    <d v="2023-09-05T00:00:00"/>
    <n v="28682.400000000001"/>
    <x v="5"/>
    <x v="0"/>
    <x v="6"/>
  </r>
  <r>
    <s v="P1041"/>
    <s v="Late Lite"/>
    <x v="1"/>
    <n v="520"/>
    <n v="101.22"/>
    <d v="2025-09-17T00:00:00"/>
    <n v="52634.400000000001"/>
    <x v="5"/>
    <x v="2"/>
    <x v="3"/>
  </r>
  <r>
    <s v="P1042"/>
    <s v="Data Max"/>
    <x v="3"/>
    <n v="691"/>
    <n v="208.62"/>
    <d v="2025-07-09T00:00:00"/>
    <n v="144156.42000000001"/>
    <x v="8"/>
    <x v="2"/>
    <x v="3"/>
  </r>
  <r>
    <s v="P1043"/>
    <s v="Recently Plus"/>
    <x v="4"/>
    <n v="485"/>
    <n v="351.26"/>
    <d v="2024-07-20T00:00:00"/>
    <n v="170361.1"/>
    <x v="8"/>
    <x v="1"/>
    <x v="1"/>
  </r>
  <r>
    <s v="P1044"/>
    <s v="Way X"/>
    <x v="1"/>
    <n v="709"/>
    <n v="73.48"/>
    <d v="2025-06-15T00:00:00"/>
    <n v="52097.32"/>
    <x v="9"/>
    <x v="2"/>
    <x v="0"/>
  </r>
  <r>
    <s v="P1045"/>
    <s v="Market Pro"/>
    <x v="6"/>
    <n v="985"/>
    <n v="70.709999999999994"/>
    <d v="2024-05-28T00:00:00"/>
    <n v="69649.349999999991"/>
    <x v="3"/>
    <x v="1"/>
    <x v="6"/>
  </r>
  <r>
    <s v="P1046"/>
    <s v="Different Lite"/>
    <x v="3"/>
    <n v="792"/>
    <n v="484.92"/>
    <d v="2025-08-07T00:00:00"/>
    <n v="384056.64"/>
    <x v="2"/>
    <x v="2"/>
    <x v="2"/>
  </r>
  <r>
    <s v="P1047"/>
    <s v="Anyone Pro"/>
    <x v="2"/>
    <n v="199"/>
    <n v="358.72"/>
    <d v="2024-12-12T00:00:00"/>
    <n v="71385.279999999999"/>
    <x v="11"/>
    <x v="1"/>
    <x v="2"/>
  </r>
  <r>
    <s v="P1048"/>
    <s v="Management Plus"/>
    <x v="3"/>
    <n v="967"/>
    <n v="25.33"/>
    <d v="2025-10-16T00:00:00"/>
    <n v="24494.109999999997"/>
    <x v="7"/>
    <x v="2"/>
    <x v="2"/>
  </r>
  <r>
    <s v="P1049"/>
    <s v="Seek Max"/>
    <x v="3"/>
    <n v="696"/>
    <n v="202.42"/>
    <d v="2024-05-13T00:00:00"/>
    <n v="140884.31999999998"/>
    <x v="3"/>
    <x v="1"/>
    <x v="5"/>
  </r>
  <r>
    <s v="P1050"/>
    <s v="Admit Lite"/>
    <x v="4"/>
    <n v="967"/>
    <n v="219.59"/>
    <d v="2024-10-29T00:00:00"/>
    <n v="212343.53"/>
    <x v="7"/>
    <x v="1"/>
    <x v="6"/>
  </r>
  <r>
    <s v="P1051"/>
    <s v="Walk X"/>
    <x v="0"/>
    <n v="572"/>
    <n v="257.77"/>
    <d v="2024-09-18T00:00:00"/>
    <n v="213527.6"/>
    <x v="5"/>
    <x v="1"/>
    <x v="3"/>
  </r>
  <r>
    <s v="P1052"/>
    <s v="Respond Lite"/>
    <x v="3"/>
    <n v="885"/>
    <n v="129.18"/>
    <d v="2025-01-31T00:00:00"/>
    <n v="114324.3"/>
    <x v="0"/>
    <x v="2"/>
    <x v="4"/>
  </r>
  <r>
    <s v="P1053"/>
    <s v="Certainly X"/>
    <x v="1"/>
    <n v="576"/>
    <n v="96.25"/>
    <d v="2024-07-31T00:00:00"/>
    <n v="55440"/>
    <x v="8"/>
    <x v="1"/>
    <x v="3"/>
  </r>
  <r>
    <s v="P1054"/>
    <s v="Use Max"/>
    <x v="0"/>
    <n v="253"/>
    <n v="45.03"/>
    <d v="2023-09-11T00:00:00"/>
    <n v="11392.59"/>
    <x v="5"/>
    <x v="0"/>
    <x v="5"/>
  </r>
  <r>
    <s v="P1055"/>
    <s v="Every Lite"/>
    <x v="4"/>
    <n v="841"/>
    <n v="217.02"/>
    <d v="2025-11-01T00:00:00"/>
    <n v="182513.82"/>
    <x v="1"/>
    <x v="2"/>
    <x v="1"/>
  </r>
  <r>
    <s v="P1056"/>
    <s v="Hit Max"/>
    <x v="0"/>
    <n v="514"/>
    <n v="345.81"/>
    <d v="2025-11-06T00:00:00"/>
    <n v="177746.34"/>
    <x v="1"/>
    <x v="2"/>
    <x v="2"/>
  </r>
  <r>
    <s v="P1057"/>
    <s v="Move Pro"/>
    <x v="1"/>
    <n v="452"/>
    <n v="33.81"/>
    <d v="2024-12-24T00:00:00"/>
    <n v="4733.4000000000015"/>
    <x v="11"/>
    <x v="1"/>
    <x v="6"/>
  </r>
  <r>
    <s v="P1058"/>
    <s v="Trouble Plus"/>
    <x v="5"/>
    <n v="494"/>
    <n v="458.03"/>
    <d v="2023-01-25T00:00:00"/>
    <n v="226266.81999999998"/>
    <x v="0"/>
    <x v="0"/>
    <x v="3"/>
  </r>
  <r>
    <s v="P1059"/>
    <s v="War X"/>
    <x v="2"/>
    <n v="828"/>
    <n v="223.96"/>
    <d v="2023-02-06T00:00:00"/>
    <n v="185438.88"/>
    <x v="4"/>
    <x v="0"/>
    <x v="5"/>
  </r>
  <r>
    <s v="P1060"/>
    <s v="Eye X"/>
    <x v="5"/>
    <n v="656"/>
    <n v="123.69"/>
    <d v="2023-08-16T00:00:00"/>
    <n v="81140.639999999999"/>
    <x v="2"/>
    <x v="0"/>
    <x v="3"/>
  </r>
  <r>
    <s v="P1061"/>
    <s v="Which Lite"/>
    <x v="6"/>
    <n v="30"/>
    <n v="51.47"/>
    <d v="2023-06-20T00:00:00"/>
    <n v="1544.1"/>
    <x v="9"/>
    <x v="0"/>
    <x v="6"/>
  </r>
  <r>
    <s v="P1062"/>
    <s v="Hour Lite"/>
    <x v="3"/>
    <n v="850"/>
    <n v="95.52"/>
    <d v="2023-09-29T00:00:00"/>
    <n v="81192"/>
    <x v="5"/>
    <x v="0"/>
    <x v="4"/>
  </r>
  <r>
    <s v="P1063"/>
    <s v="Large X"/>
    <x v="1"/>
    <n v="176"/>
    <n v="467.63"/>
    <d v="2023-07-12T00:00:00"/>
    <n v="82302.880000000005"/>
    <x v="8"/>
    <x v="0"/>
    <x v="3"/>
  </r>
  <r>
    <s v="P1064"/>
    <s v="Actually Plus"/>
    <x v="1"/>
    <n v="283"/>
    <n v="320.94"/>
    <d v="2024-11-17T00:00:00"/>
    <n v="90826.02"/>
    <x v="1"/>
    <x v="1"/>
    <x v="0"/>
  </r>
  <r>
    <s v="P1065"/>
    <s v="Number Plus"/>
    <x v="6"/>
    <n v="397"/>
    <n v="260.76"/>
    <d v="2025-07-12T00:00:00"/>
    <n v="103521.72"/>
    <x v="8"/>
    <x v="2"/>
    <x v="1"/>
  </r>
  <r>
    <s v="P1066"/>
    <s v="Media Plus"/>
    <x v="3"/>
    <n v="610"/>
    <n v="330.27"/>
    <d v="2025-04-05T00:00:00"/>
    <n v="201464.69999999998"/>
    <x v="6"/>
    <x v="2"/>
    <x v="1"/>
  </r>
  <r>
    <s v="P1067"/>
    <s v="Return Max"/>
    <x v="6"/>
    <n v="325"/>
    <n v="220.66"/>
    <d v="2024-12-02T00:00:00"/>
    <n v="71714.5"/>
    <x v="11"/>
    <x v="1"/>
    <x v="5"/>
  </r>
  <r>
    <s v="P1068"/>
    <s v="Defense Pro"/>
    <x v="1"/>
    <n v="23"/>
    <n v="366.37"/>
    <d v="2023-11-21T00:00:00"/>
    <n v="8426.51"/>
    <x v="1"/>
    <x v="0"/>
    <x v="6"/>
  </r>
  <r>
    <s v="P1069"/>
    <s v="Full Lite"/>
    <x v="0"/>
    <n v="251"/>
    <n v="28.62"/>
    <d v="2024-02-26T00:00:00"/>
    <n v="7183.62"/>
    <x v="4"/>
    <x v="1"/>
    <x v="5"/>
  </r>
  <r>
    <s v="P1070"/>
    <s v="Mention Max"/>
    <x v="4"/>
    <n v="558"/>
    <n v="285.19"/>
    <d v="2025-12-07T00:00:00"/>
    <n v="224159.34"/>
    <x v="11"/>
    <x v="2"/>
    <x v="0"/>
  </r>
  <r>
    <s v="P1071"/>
    <s v="Push Max"/>
    <x v="2"/>
    <n v="355"/>
    <n v="83.53"/>
    <d v="2024-05-19T00:00:00"/>
    <n v="29653.15"/>
    <x v="3"/>
    <x v="1"/>
    <x v="0"/>
  </r>
  <r>
    <s v="P1072"/>
    <s v="Describe Max"/>
    <x v="2"/>
    <n v="574"/>
    <n v="64.48"/>
    <d v="2024-04-19T00:00:00"/>
    <n v="37011.520000000004"/>
    <x v="6"/>
    <x v="1"/>
    <x v="4"/>
  </r>
  <r>
    <s v="P1073"/>
    <s v="Thousand Pro"/>
    <x v="4"/>
    <n v="907"/>
    <n v="174.23"/>
    <d v="2024-02-20T00:00:00"/>
    <n v="158026.60999999999"/>
    <x v="4"/>
    <x v="1"/>
    <x v="6"/>
  </r>
  <r>
    <s v="P1074"/>
    <s v="Over X"/>
    <x v="2"/>
    <n v="349"/>
    <n v="50.44"/>
    <d v="2024-05-23T00:00:00"/>
    <n v="17603.559999999998"/>
    <x v="3"/>
    <x v="1"/>
    <x v="2"/>
  </r>
  <r>
    <s v="P1075"/>
    <s v="Animal Max"/>
    <x v="3"/>
    <n v="101"/>
    <n v="51.61"/>
    <d v="2024-10-09T00:00:00"/>
    <n v="5212.6099999999997"/>
    <x v="7"/>
    <x v="1"/>
    <x v="3"/>
  </r>
  <r>
    <s v="P1076"/>
    <s v="Process Lite"/>
    <x v="4"/>
    <n v="376"/>
    <n v="159.15"/>
    <d v="2025-07-13T00:00:00"/>
    <n v="59840.4"/>
    <x v="8"/>
    <x v="2"/>
    <x v="0"/>
  </r>
  <r>
    <s v="P1077"/>
    <s v="Yes Max"/>
    <x v="3"/>
    <n v="965"/>
    <n v="489.86"/>
    <d v="2025-10-22T00:00:00"/>
    <n v="472714.9"/>
    <x v="7"/>
    <x v="2"/>
    <x v="3"/>
  </r>
  <r>
    <s v="P1078"/>
    <s v="Unit Lite"/>
    <x v="6"/>
    <n v="464"/>
    <n v="91.79"/>
    <d v="2023-05-21T00:00:00"/>
    <n v="42590.560000000005"/>
    <x v="3"/>
    <x v="0"/>
    <x v="0"/>
  </r>
  <r>
    <s v="P1079"/>
    <s v="Return Pro"/>
    <x v="4"/>
    <n v="437"/>
    <n v="13.49"/>
    <d v="2023-04-05T00:00:00"/>
    <n v="5895.13"/>
    <x v="6"/>
    <x v="0"/>
    <x v="3"/>
  </r>
  <r>
    <s v="P1080"/>
    <s v="Respond X"/>
    <x v="1"/>
    <n v="518"/>
    <n v="382.87"/>
    <d v="2024-06-02T00:00:00"/>
    <n v="198326.66"/>
    <x v="9"/>
    <x v="1"/>
    <x v="0"/>
  </r>
  <r>
    <s v="P1081"/>
    <s v="Rise Plus"/>
    <x v="1"/>
    <n v="785"/>
    <n v="404.42"/>
    <d v="2023-04-05T00:00:00"/>
    <n v="317469.7"/>
    <x v="6"/>
    <x v="0"/>
    <x v="3"/>
  </r>
  <r>
    <s v="P1082"/>
    <s v="Rest X"/>
    <x v="3"/>
    <n v="952"/>
    <n v="176.42"/>
    <d v="2025-09-10T00:00:00"/>
    <n v="167951.84"/>
    <x v="5"/>
    <x v="2"/>
    <x v="3"/>
  </r>
  <r>
    <s v="P1083"/>
    <s v="Message Max"/>
    <x v="0"/>
    <n v="44"/>
    <n v="235.01"/>
    <d v="2024-12-22T00:00:00"/>
    <n v="10340.439999999999"/>
    <x v="11"/>
    <x v="1"/>
    <x v="0"/>
  </r>
  <r>
    <s v="P1084"/>
    <s v="Government Pro"/>
    <x v="0"/>
    <n v="215"/>
    <n v="326.64"/>
    <d v="2025-02-27T00:00:00"/>
    <n v="70227.599999999991"/>
    <x v="4"/>
    <x v="2"/>
    <x v="2"/>
  </r>
  <r>
    <s v="P1085"/>
    <s v="Well X"/>
    <x v="6"/>
    <n v="90"/>
    <n v="28.79"/>
    <d v="2025-07-20T00:00:00"/>
    <n v="2591.1"/>
    <x v="8"/>
    <x v="2"/>
    <x v="0"/>
  </r>
  <r>
    <s v="P1086"/>
    <s v="Wait X"/>
    <x v="4"/>
    <n v="941"/>
    <n v="474.83"/>
    <d v="2025-03-10T00:00:00"/>
    <n v="446815.02999999997"/>
    <x v="10"/>
    <x v="2"/>
    <x v="5"/>
  </r>
  <r>
    <s v="P1087"/>
    <s v="On Plus"/>
    <x v="6"/>
    <n v="571"/>
    <n v="443.91"/>
    <d v="2023-11-16T00:00:00"/>
    <n v="253472.61000000002"/>
    <x v="1"/>
    <x v="0"/>
    <x v="2"/>
  </r>
  <r>
    <s v="P1088"/>
    <s v="Call Lite"/>
    <x v="4"/>
    <n v="881"/>
    <n v="134.13999999999999"/>
    <d v="2023-12-10T00:00:00"/>
    <n v="118177.33999999998"/>
    <x v="11"/>
    <x v="0"/>
    <x v="0"/>
  </r>
  <r>
    <s v="P1089"/>
    <s v="Term Lite"/>
    <x v="3"/>
    <n v="397"/>
    <n v="12.58"/>
    <d v="2025-06-07T00:00:00"/>
    <n v="4994.26"/>
    <x v="9"/>
    <x v="2"/>
    <x v="1"/>
  </r>
  <r>
    <s v="P1090"/>
    <s v="Decision Max"/>
    <x v="1"/>
    <n v="11"/>
    <n v="467.05"/>
    <d v="2024-03-10T00:00:00"/>
    <n v="5137.55"/>
    <x v="10"/>
    <x v="1"/>
    <x v="0"/>
  </r>
  <r>
    <s v="P1091"/>
    <s v="The Pro"/>
    <x v="6"/>
    <n v="399"/>
    <n v="253.01"/>
    <d v="2023-07-17T00:00:00"/>
    <n v="100950.98999999999"/>
    <x v="8"/>
    <x v="0"/>
    <x v="5"/>
  </r>
  <r>
    <s v="P1092"/>
    <s v="May Plus"/>
    <x v="0"/>
    <n v="575"/>
    <n v="271.99"/>
    <d v="2024-07-18T00:00:00"/>
    <n v="156394.25"/>
    <x v="8"/>
    <x v="1"/>
    <x v="2"/>
  </r>
  <r>
    <s v="P1093"/>
    <s v="Thus X"/>
    <x v="3"/>
    <n v="115"/>
    <n v="343.56"/>
    <d v="2023-03-21T00:00:00"/>
    <n v="39509.4"/>
    <x v="10"/>
    <x v="0"/>
    <x v="6"/>
  </r>
  <r>
    <s v="P1094"/>
    <s v="Paper X"/>
    <x v="4"/>
    <n v="781"/>
    <n v="309.85000000000002"/>
    <d v="2024-01-24T00:00:00"/>
    <n v="241992.85"/>
    <x v="0"/>
    <x v="1"/>
    <x v="3"/>
  </r>
  <r>
    <s v="P1095"/>
    <s v="Attention X"/>
    <x v="0"/>
    <n v="831"/>
    <n v="472.23"/>
    <d v="2024-07-08T00:00:00"/>
    <n v="392423.13"/>
    <x v="8"/>
    <x v="1"/>
    <x v="5"/>
  </r>
  <r>
    <s v="P1096"/>
    <s v="Author Plus"/>
    <x v="0"/>
    <n v="486"/>
    <n v="472.4"/>
    <d v="2023-04-15T00:00:00"/>
    <n v="229586.4"/>
    <x v="6"/>
    <x v="0"/>
    <x v="1"/>
  </r>
  <r>
    <s v="P1097"/>
    <s v="Help Max"/>
    <x v="6"/>
    <n v="712"/>
    <n v="434.26"/>
    <d v="2024-11-26T00:00:00"/>
    <n v="309193.12"/>
    <x v="1"/>
    <x v="1"/>
    <x v="6"/>
  </r>
  <r>
    <s v="P1098"/>
    <s v="Her Plus"/>
    <x v="4"/>
    <n v="411"/>
    <n v="320.02"/>
    <d v="2025-08-14T00:00:00"/>
    <n v="131528.22"/>
    <x v="2"/>
    <x v="2"/>
    <x v="2"/>
  </r>
  <r>
    <s v="P1099"/>
    <s v="Drive Pro"/>
    <x v="1"/>
    <n v="739"/>
    <n v="401.47"/>
    <d v="2025-08-15T00:00:00"/>
    <n v="296686.33"/>
    <x v="2"/>
    <x v="2"/>
    <x v="4"/>
  </r>
  <r>
    <s v="P1100"/>
    <s v="Car Lite"/>
    <x v="1"/>
    <n v="565"/>
    <n v="340.2"/>
    <d v="2024-10-11T00:00:00"/>
    <n v="192213"/>
    <x v="7"/>
    <x v="1"/>
    <x v="4"/>
  </r>
  <r>
    <s v="P1101"/>
    <s v="Program Pro"/>
    <x v="3"/>
    <n v="171"/>
    <n v="288.82"/>
    <d v="2025-06-28T00:00:00"/>
    <n v="49388.22"/>
    <x v="9"/>
    <x v="2"/>
    <x v="1"/>
  </r>
  <r>
    <s v="P1102"/>
    <s v="Already Plus"/>
    <x v="2"/>
    <n v="211"/>
    <n v="68.61"/>
    <d v="2024-08-01T00:00:00"/>
    <n v="14476.71"/>
    <x v="2"/>
    <x v="1"/>
    <x v="2"/>
  </r>
  <r>
    <s v="P1103"/>
    <s v="Easy Plus"/>
    <x v="4"/>
    <n v="967"/>
    <n v="406.55"/>
    <d v="2024-03-10T00:00:00"/>
    <n v="393133.85000000003"/>
    <x v="10"/>
    <x v="1"/>
    <x v="0"/>
  </r>
  <r>
    <s v="P1104"/>
    <s v="Adult Max"/>
    <x v="3"/>
    <n v="279"/>
    <n v="411.22"/>
    <d v="2023-12-25T00:00:00"/>
    <n v="114730.38"/>
    <x v="11"/>
    <x v="0"/>
    <x v="5"/>
  </r>
  <r>
    <s v="P1105"/>
    <s v="Fast X"/>
    <x v="2"/>
    <n v="872"/>
    <n v="314.83999999999997"/>
    <d v="2023-05-26T00:00:00"/>
    <n v="274540.48"/>
    <x v="3"/>
    <x v="0"/>
    <x v="4"/>
  </r>
  <r>
    <s v="P1106"/>
    <s v="World Pro"/>
    <x v="6"/>
    <n v="825"/>
    <n v="411.11"/>
    <d v="2023-04-23T00:00:00"/>
    <n v="339165.75"/>
    <x v="6"/>
    <x v="0"/>
    <x v="0"/>
  </r>
  <r>
    <s v="P1107"/>
    <s v="With Lite"/>
    <x v="6"/>
    <n v="280"/>
    <n v="327.48"/>
    <d v="2025-11-12T00:00:00"/>
    <n v="91694.400000000009"/>
    <x v="1"/>
    <x v="2"/>
    <x v="3"/>
  </r>
  <r>
    <s v="P1108"/>
    <s v="Day Lite"/>
    <x v="1"/>
    <n v="465"/>
    <n v="107.31"/>
    <d v="2023-07-07T00:00:00"/>
    <n v="49899.15"/>
    <x v="8"/>
    <x v="0"/>
    <x v="4"/>
  </r>
  <r>
    <s v="P1109"/>
    <s v="Decide Max"/>
    <x v="4"/>
    <n v="471"/>
    <n v="140.61000000000001"/>
    <d v="2025-08-14T00:00:00"/>
    <n v="66227.310000000012"/>
    <x v="2"/>
    <x v="2"/>
    <x v="2"/>
  </r>
  <r>
    <s v="P1110"/>
    <s v="Against Max"/>
    <x v="4"/>
    <n v="736"/>
    <n v="111.22"/>
    <d v="2025-11-06T00:00:00"/>
    <n v="81857.919999999998"/>
    <x v="1"/>
    <x v="2"/>
    <x v="2"/>
  </r>
  <r>
    <s v="P1111"/>
    <s v="Feel Pro"/>
    <x v="1"/>
    <n v="261"/>
    <n v="191.74"/>
    <d v="2025-01-31T00:00:00"/>
    <n v="50044.14"/>
    <x v="0"/>
    <x v="2"/>
    <x v="4"/>
  </r>
  <r>
    <s v="P1112"/>
    <s v="Police X"/>
    <x v="1"/>
    <n v="711"/>
    <n v="24.29"/>
    <d v="2024-04-06T00:00:00"/>
    <n v="17270.189999999999"/>
    <x v="6"/>
    <x v="1"/>
    <x v="1"/>
  </r>
  <r>
    <s v="P1113"/>
    <s v="Short Lite"/>
    <x v="4"/>
    <n v="305"/>
    <n v="311.04000000000002"/>
    <d v="2023-08-04T00:00:00"/>
    <n v="94867.200000000012"/>
    <x v="2"/>
    <x v="0"/>
    <x v="4"/>
  </r>
  <r>
    <s v="P1114"/>
    <s v="Suffer Max"/>
    <x v="6"/>
    <n v="734"/>
    <n v="171.59"/>
    <d v="2025-05-07T00:00:00"/>
    <n v="125947.06"/>
    <x v="3"/>
    <x v="2"/>
    <x v="3"/>
  </r>
  <r>
    <s v="P1115"/>
    <s v="If Pro"/>
    <x v="1"/>
    <n v="729"/>
    <n v="329.58"/>
    <d v="2023-10-15T00:00:00"/>
    <n v="240263.81999999998"/>
    <x v="7"/>
    <x v="0"/>
    <x v="0"/>
  </r>
  <r>
    <s v="P1116"/>
    <s v="Hour Max"/>
    <x v="0"/>
    <n v="758"/>
    <n v="195.77"/>
    <d v="2024-08-01T00:00:00"/>
    <n v="148393.66"/>
    <x v="2"/>
    <x v="1"/>
    <x v="2"/>
  </r>
  <r>
    <s v="P1117"/>
    <s v="Event Lite"/>
    <x v="4"/>
    <n v="347"/>
    <n v="342.4"/>
    <d v="2024-11-29T00:00:00"/>
    <n v="118812.79999999999"/>
    <x v="1"/>
    <x v="1"/>
    <x v="4"/>
  </r>
  <r>
    <s v="P1118"/>
    <s v="Unit Pro"/>
    <x v="3"/>
    <n v="888"/>
    <n v="173.61"/>
    <d v="2024-10-17T00:00:00"/>
    <n v="154165.68000000002"/>
    <x v="7"/>
    <x v="1"/>
    <x v="2"/>
  </r>
  <r>
    <s v="P1119"/>
    <s v="Reach X"/>
    <x v="4"/>
    <n v="62"/>
    <n v="134.04"/>
    <d v="2024-05-25T00:00:00"/>
    <n v="8310.48"/>
    <x v="3"/>
    <x v="1"/>
    <x v="1"/>
  </r>
  <r>
    <s v="P1120"/>
    <s v="Fill Lite"/>
    <x v="6"/>
    <n v="801"/>
    <n v="250.54"/>
    <d v="2024-12-17T00:00:00"/>
    <n v="200682.54"/>
    <x v="11"/>
    <x v="1"/>
    <x v="6"/>
  </r>
  <r>
    <s v="P1121"/>
    <s v="Require X"/>
    <x v="3"/>
    <n v="931"/>
    <n v="347.98"/>
    <d v="2024-08-06T00:00:00"/>
    <n v="323969.38"/>
    <x v="2"/>
    <x v="1"/>
    <x v="6"/>
  </r>
  <r>
    <s v="P1122"/>
    <s v="Benefit X"/>
    <x v="6"/>
    <n v="226"/>
    <n v="177.43"/>
    <d v="2024-05-19T00:00:00"/>
    <n v="40099.18"/>
    <x v="3"/>
    <x v="1"/>
    <x v="0"/>
  </r>
  <r>
    <s v="P1123"/>
    <s v="Control Max"/>
    <x v="3"/>
    <n v="773"/>
    <n v="468.64"/>
    <d v="2025-07-03T00:00:00"/>
    <n v="362258.72"/>
    <x v="8"/>
    <x v="2"/>
    <x v="2"/>
  </r>
  <r>
    <s v="P1124"/>
    <s v="Employee Max"/>
    <x v="4"/>
    <n v="197"/>
    <n v="24.4"/>
    <d v="2024-10-29T00:00:00"/>
    <n v="4806.7999999999993"/>
    <x v="7"/>
    <x v="1"/>
    <x v="6"/>
  </r>
  <r>
    <s v="P1125"/>
    <s v="Control Max"/>
    <x v="2"/>
    <n v="389"/>
    <n v="211.88"/>
    <d v="2023-05-31T00:00:00"/>
    <n v="82421.319999999992"/>
    <x v="3"/>
    <x v="0"/>
    <x v="3"/>
  </r>
  <r>
    <s v="P1126"/>
    <s v="Role X"/>
    <x v="2"/>
    <n v="502"/>
    <n v="483.95"/>
    <d v="2024-01-23T00:00:00"/>
    <n v="242942.9"/>
    <x v="0"/>
    <x v="1"/>
    <x v="6"/>
  </r>
  <r>
    <s v="P1127"/>
    <s v="Interesting X"/>
    <x v="2"/>
    <n v="50"/>
    <n v="276.25"/>
    <d v="2023-10-12T00:00:00"/>
    <n v="13812.5"/>
    <x v="7"/>
    <x v="0"/>
    <x v="2"/>
  </r>
  <r>
    <s v="P1128"/>
    <s v="Back Pro"/>
    <x v="1"/>
    <n v="166"/>
    <n v="214.62"/>
    <d v="2023-10-18T00:00:00"/>
    <n v="35626.92"/>
    <x v="7"/>
    <x v="0"/>
    <x v="3"/>
  </r>
  <r>
    <s v="P1129"/>
    <s v="Shake Pro"/>
    <x v="1"/>
    <n v="24"/>
    <n v="286.42"/>
    <d v="2024-09-24T00:00:00"/>
    <n v="6874.08"/>
    <x v="5"/>
    <x v="1"/>
    <x v="6"/>
  </r>
  <r>
    <s v="P1130"/>
    <s v="Foot Lite"/>
    <x v="3"/>
    <n v="822"/>
    <n v="290.08"/>
    <d v="2025-03-13T00:00:00"/>
    <n v="238445.75999999998"/>
    <x v="10"/>
    <x v="2"/>
    <x v="2"/>
  </r>
  <r>
    <s v="P1131"/>
    <s v="Result Lite"/>
    <x v="0"/>
    <n v="74"/>
    <n v="367.17"/>
    <d v="2024-06-29T00:00:00"/>
    <n v="27170.58"/>
    <x v="9"/>
    <x v="1"/>
    <x v="1"/>
  </r>
  <r>
    <s v="P1132"/>
    <s v="National Plus"/>
    <x v="4"/>
    <n v="866"/>
    <n v="68.209999999999994"/>
    <d v="2024-10-20T00:00:00"/>
    <n v="59069.859999999993"/>
    <x v="7"/>
    <x v="1"/>
    <x v="0"/>
  </r>
  <r>
    <s v="P1133"/>
    <s v="No Plus"/>
    <x v="1"/>
    <n v="848"/>
    <n v="128.76"/>
    <d v="2025-05-21T00:00:00"/>
    <n v="109188.48"/>
    <x v="3"/>
    <x v="2"/>
    <x v="3"/>
  </r>
  <r>
    <s v="P1134"/>
    <s v="Partner Lite"/>
    <x v="2"/>
    <n v="530"/>
    <n v="292.37"/>
    <d v="2024-05-22T00:00:00"/>
    <n v="154956.1"/>
    <x v="3"/>
    <x v="1"/>
    <x v="3"/>
  </r>
  <r>
    <s v="P1135"/>
    <s v="Son Max"/>
    <x v="1"/>
    <n v="353"/>
    <n v="434.22"/>
    <d v="2025-09-01T00:00:00"/>
    <n v="153279.66"/>
    <x v="5"/>
    <x v="2"/>
    <x v="5"/>
  </r>
  <r>
    <s v="P1136"/>
    <s v="Interesting Plus"/>
    <x v="0"/>
    <n v="138"/>
    <n v="283.12"/>
    <d v="2024-07-15T00:00:00"/>
    <n v="39070.559999999998"/>
    <x v="8"/>
    <x v="1"/>
    <x v="5"/>
  </r>
  <r>
    <s v="P1137"/>
    <s v="Few X"/>
    <x v="6"/>
    <n v="657"/>
    <n v="123.11"/>
    <d v="2023-08-24T00:00:00"/>
    <n v="80883.27"/>
    <x v="2"/>
    <x v="0"/>
    <x v="2"/>
  </r>
  <r>
    <s v="P1138"/>
    <s v="Compare Pro"/>
    <x v="6"/>
    <n v="481"/>
    <n v="341.52"/>
    <d v="2023-03-29T00:00:00"/>
    <n v="164271.12"/>
    <x v="10"/>
    <x v="0"/>
    <x v="3"/>
  </r>
  <r>
    <s v="P1139"/>
    <s v="Must Pro"/>
    <x v="6"/>
    <n v="72"/>
    <n v="371.25"/>
    <d v="2025-11-13T00:00:00"/>
    <n v="26730"/>
    <x v="1"/>
    <x v="2"/>
    <x v="2"/>
  </r>
  <r>
    <s v="P1140"/>
    <s v="Suggest X"/>
    <x v="3"/>
    <n v="148"/>
    <n v="122.93"/>
    <d v="2024-08-26T00:00:00"/>
    <n v="18193.64"/>
    <x v="2"/>
    <x v="1"/>
    <x v="5"/>
  </r>
  <r>
    <s v="P1141"/>
    <s v="Explain Max"/>
    <x v="6"/>
    <n v="508"/>
    <n v="191.98"/>
    <d v="2025-02-03T00:00:00"/>
    <n v="97525.84"/>
    <x v="4"/>
    <x v="2"/>
    <x v="5"/>
  </r>
  <r>
    <s v="P1142"/>
    <s v="Drop Max"/>
    <x v="0"/>
    <n v="602"/>
    <n v="269.49"/>
    <d v="2025-04-22T00:00:00"/>
    <n v="162232.98000000001"/>
    <x v="6"/>
    <x v="2"/>
    <x v="6"/>
  </r>
  <r>
    <s v="P1143"/>
    <s v="Look Max"/>
    <x v="3"/>
    <n v="401"/>
    <n v="250.8"/>
    <d v="2023-04-21T00:00:00"/>
    <n v="100570.8"/>
    <x v="6"/>
    <x v="0"/>
    <x v="4"/>
  </r>
  <r>
    <s v="P1144"/>
    <s v="Commercial X"/>
    <x v="2"/>
    <n v="684"/>
    <n v="197.86"/>
    <d v="2023-12-16T00:00:00"/>
    <n v="135336.24000000002"/>
    <x v="11"/>
    <x v="0"/>
    <x v="1"/>
  </r>
  <r>
    <s v="P1145"/>
    <s v="Those X"/>
    <x v="0"/>
    <n v="428"/>
    <n v="152.33000000000001"/>
    <d v="2025-05-24T00:00:00"/>
    <n v="65197.240000000005"/>
    <x v="3"/>
    <x v="2"/>
    <x v="1"/>
  </r>
  <r>
    <s v="P1146"/>
    <s v="Medical Plus"/>
    <x v="3"/>
    <n v="298"/>
    <n v="54.49"/>
    <d v="2024-04-23T00:00:00"/>
    <n v="16238.02"/>
    <x v="6"/>
    <x v="1"/>
    <x v="6"/>
  </r>
  <r>
    <s v="P1147"/>
    <s v="Chance Plus"/>
    <x v="1"/>
    <n v="388"/>
    <n v="31.48"/>
    <d v="2023-04-17T00:00:00"/>
    <n v="12214.24"/>
    <x v="6"/>
    <x v="0"/>
    <x v="5"/>
  </r>
  <r>
    <s v="P1148"/>
    <s v="Good Max"/>
    <x v="2"/>
    <n v="782"/>
    <n v="479.48"/>
    <d v="2023-10-10T00:00:00"/>
    <n v="374953.36"/>
    <x v="7"/>
    <x v="0"/>
    <x v="6"/>
  </r>
  <r>
    <s v="P1149"/>
    <s v="Current Pro"/>
    <x v="2"/>
    <n v="499"/>
    <n v="424.34"/>
    <d v="2025-11-11T00:00:00"/>
    <n v="211745.65999999997"/>
    <x v="1"/>
    <x v="2"/>
    <x v="6"/>
  </r>
  <r>
    <s v="P1150"/>
    <s v="Condition Lite"/>
    <x v="0"/>
    <n v="240"/>
    <n v="257.77"/>
    <d v="2025-08-22T00:00:00"/>
    <n v="43363.200000000004"/>
    <x v="2"/>
    <x v="2"/>
    <x v="4"/>
  </r>
  <r>
    <s v="P1151"/>
    <s v="Art X"/>
    <x v="3"/>
    <n v="50"/>
    <n v="478.62"/>
    <d v="2024-01-25T00:00:00"/>
    <n v="23931"/>
    <x v="0"/>
    <x v="1"/>
    <x v="2"/>
  </r>
  <r>
    <s v="P1152"/>
    <s v="Line Plus"/>
    <x v="6"/>
    <n v="37"/>
    <n v="340"/>
    <d v="2023-12-03T00:00:00"/>
    <n v="12580"/>
    <x v="11"/>
    <x v="0"/>
    <x v="0"/>
  </r>
  <r>
    <s v="P1153"/>
    <s v="Travel Plus"/>
    <x v="3"/>
    <n v="144"/>
    <n v="243.85"/>
    <d v="2025-01-01T00:00:00"/>
    <n v="35114.400000000001"/>
    <x v="0"/>
    <x v="2"/>
    <x v="3"/>
  </r>
  <r>
    <s v="P1154"/>
    <s v="Answer X"/>
    <x v="0"/>
    <n v="210"/>
    <n v="249.05"/>
    <d v="2023-09-12T00:00:00"/>
    <n v="52300.5"/>
    <x v="5"/>
    <x v="0"/>
    <x v="6"/>
  </r>
  <r>
    <s v="P1155"/>
    <s v="If Pro"/>
    <x v="6"/>
    <n v="849"/>
    <n v="46.23"/>
    <d v="2025-05-10T00:00:00"/>
    <n v="39249.269999999997"/>
    <x v="3"/>
    <x v="2"/>
    <x v="1"/>
  </r>
  <r>
    <s v="P1156"/>
    <s v="Consider Plus"/>
    <x v="6"/>
    <n v="789"/>
    <n v="50.39"/>
    <d v="2024-04-16T00:00:00"/>
    <n v="39757.71"/>
    <x v="6"/>
    <x v="1"/>
    <x v="6"/>
  </r>
  <r>
    <s v="P1157"/>
    <s v="Its Plus"/>
    <x v="1"/>
    <n v="939"/>
    <n v="303.20999999999998"/>
    <d v="2024-06-05T00:00:00"/>
    <n v="284714.19"/>
    <x v="9"/>
    <x v="1"/>
    <x v="3"/>
  </r>
  <r>
    <s v="P1158"/>
    <s v="Site Pro"/>
    <x v="1"/>
    <n v="42"/>
    <n v="263.45999999999998"/>
    <d v="2024-01-17T00:00:00"/>
    <n v="11721.359999999999"/>
    <x v="0"/>
    <x v="1"/>
    <x v="3"/>
  </r>
  <r>
    <s v="P1159"/>
    <s v="Fear Lite"/>
    <x v="2"/>
    <n v="57"/>
    <n v="110.3"/>
    <d v="2025-03-02T00:00:00"/>
    <n v="6287.0999999999995"/>
    <x v="10"/>
    <x v="2"/>
    <x v="0"/>
  </r>
  <r>
    <s v="P1160"/>
    <s v="At Plus"/>
    <x v="1"/>
    <n v="512"/>
    <n v="473.37"/>
    <d v="2024-09-11T00:00:00"/>
    <n v="242365.44"/>
    <x v="5"/>
    <x v="1"/>
    <x v="3"/>
  </r>
  <r>
    <s v="P1161"/>
    <s v="Lay Lite"/>
    <x v="6"/>
    <n v="416"/>
    <n v="391.74"/>
    <d v="2024-02-11T00:00:00"/>
    <n v="162963.84"/>
    <x v="4"/>
    <x v="1"/>
    <x v="0"/>
  </r>
  <r>
    <s v="P1162"/>
    <s v="Full X"/>
    <x v="2"/>
    <n v="583"/>
    <n v="61.16"/>
    <d v="2023-10-10T00:00:00"/>
    <n v="35656.28"/>
    <x v="7"/>
    <x v="0"/>
    <x v="6"/>
  </r>
  <r>
    <s v="P1163"/>
    <s v="Say Plus"/>
    <x v="0"/>
    <n v="737"/>
    <n v="465.81"/>
    <d v="2024-07-26T00:00:00"/>
    <n v="343301.97000000003"/>
    <x v="8"/>
    <x v="1"/>
    <x v="4"/>
  </r>
  <r>
    <s v="P1164"/>
    <s v="Establish Lite"/>
    <x v="6"/>
    <n v="814"/>
    <n v="487.25"/>
    <d v="2025-03-05T00:00:00"/>
    <n v="396621.5"/>
    <x v="10"/>
    <x v="2"/>
    <x v="3"/>
  </r>
  <r>
    <s v="P1165"/>
    <s v="Born Lite"/>
    <x v="1"/>
    <n v="108"/>
    <n v="497.99"/>
    <d v="2024-12-10T00:00:00"/>
    <n v="53782.92"/>
    <x v="11"/>
    <x v="1"/>
    <x v="6"/>
  </r>
  <r>
    <s v="P1166"/>
    <s v="Build Lite"/>
    <x v="6"/>
    <n v="693"/>
    <n v="32.659999999999997"/>
    <d v="2023-10-26T00:00:00"/>
    <n v="22633.379999999997"/>
    <x v="7"/>
    <x v="0"/>
    <x v="2"/>
  </r>
  <r>
    <s v="P1167"/>
    <s v="Full Lite"/>
    <x v="0"/>
    <n v="881"/>
    <n v="369.83"/>
    <d v="2024-08-24T00:00:00"/>
    <n v="325820.23"/>
    <x v="2"/>
    <x v="1"/>
    <x v="1"/>
  </r>
  <r>
    <s v="P1168"/>
    <s v="Meet X"/>
    <x v="4"/>
    <n v="735"/>
    <n v="275.23"/>
    <d v="2024-08-27T00:00:00"/>
    <n v="202294.05000000002"/>
    <x v="2"/>
    <x v="1"/>
    <x v="6"/>
  </r>
  <r>
    <s v="P1169"/>
    <s v="Energy Plus"/>
    <x v="0"/>
    <n v="996"/>
    <n v="354.39"/>
    <d v="2024-08-26T00:00:00"/>
    <n v="352972.44"/>
    <x v="2"/>
    <x v="1"/>
    <x v="5"/>
  </r>
  <r>
    <s v="P1170"/>
    <s v="Right Max"/>
    <x v="2"/>
    <n v="556"/>
    <n v="484.48"/>
    <d v="2024-01-17T00:00:00"/>
    <n v="269370.88"/>
    <x v="0"/>
    <x v="1"/>
    <x v="3"/>
  </r>
  <r>
    <s v="P1171"/>
    <s v="Because Pro"/>
    <x v="3"/>
    <n v="970"/>
    <n v="345.57"/>
    <d v="2023-06-09T00:00:00"/>
    <n v="335202.89999999997"/>
    <x v="9"/>
    <x v="0"/>
    <x v="4"/>
  </r>
  <r>
    <s v="P1172"/>
    <s v="Strategy X"/>
    <x v="2"/>
    <n v="748"/>
    <n v="419.3"/>
    <d v="2023-11-29T00:00:00"/>
    <n v="313636.40000000002"/>
    <x v="1"/>
    <x v="0"/>
    <x v="3"/>
  </r>
  <r>
    <s v="P1173"/>
    <s v="Song Max"/>
    <x v="2"/>
    <n v="622"/>
    <n v="434.1"/>
    <d v="2025-04-30T00:00:00"/>
    <n v="270010.2"/>
    <x v="6"/>
    <x v="2"/>
    <x v="3"/>
  </r>
  <r>
    <s v="P1174"/>
    <s v="Go X"/>
    <x v="2"/>
    <n v="952"/>
    <n v="420.05"/>
    <d v="2025-06-10T00:00:00"/>
    <n v="399887.60000000003"/>
    <x v="9"/>
    <x v="2"/>
    <x v="6"/>
  </r>
  <r>
    <s v="P1175"/>
    <s v="Thought X"/>
    <x v="1"/>
    <n v="471"/>
    <n v="215.92"/>
    <d v="2023-07-15T00:00:00"/>
    <n v="101698.31999999999"/>
    <x v="8"/>
    <x v="0"/>
    <x v="1"/>
  </r>
  <r>
    <s v="P1176"/>
    <s v="Industry Pro"/>
    <x v="6"/>
    <n v="652"/>
    <n v="115.18"/>
    <d v="2025-01-04T00:00:00"/>
    <n v="75097.36"/>
    <x v="0"/>
    <x v="2"/>
    <x v="1"/>
  </r>
  <r>
    <s v="P1177"/>
    <s v="City Max"/>
    <x v="6"/>
    <n v="778"/>
    <n v="201.34"/>
    <d v="2024-01-21T00:00:00"/>
    <n v="156642.51999999999"/>
    <x v="0"/>
    <x v="1"/>
    <x v="0"/>
  </r>
  <r>
    <s v="P1178"/>
    <s v="Authority Max"/>
    <x v="4"/>
    <n v="14"/>
    <n v="446.49"/>
    <d v="2024-01-05T00:00:00"/>
    <n v="6250.8600000000006"/>
    <x v="0"/>
    <x v="1"/>
    <x v="4"/>
  </r>
  <r>
    <s v="P1179"/>
    <s v="Car Pro"/>
    <x v="6"/>
    <n v="227"/>
    <n v="252.42"/>
    <d v="2024-04-02T00:00:00"/>
    <n v="17608.39"/>
    <x v="6"/>
    <x v="1"/>
    <x v="6"/>
  </r>
  <r>
    <s v="P1180"/>
    <s v="Less Lite"/>
    <x v="2"/>
    <n v="512"/>
    <n v="259.10000000000002"/>
    <d v="2024-11-09T00:00:00"/>
    <n v="132659.20000000001"/>
    <x v="1"/>
    <x v="1"/>
    <x v="1"/>
  </r>
  <r>
    <s v="P1181"/>
    <s v="Job Pro"/>
    <x v="3"/>
    <n v="776"/>
    <n v="120.45"/>
    <d v="2024-04-02T00:00:00"/>
    <n v="93469.2"/>
    <x v="6"/>
    <x v="1"/>
    <x v="6"/>
  </r>
  <r>
    <s v="P1182"/>
    <s v="Second Pro"/>
    <x v="4"/>
    <n v="407"/>
    <n v="292.75"/>
    <d v="2024-05-11T00:00:00"/>
    <n v="119149.25"/>
    <x v="3"/>
    <x v="1"/>
    <x v="1"/>
  </r>
  <r>
    <s v="P1183"/>
    <s v="Difficult X"/>
    <x v="0"/>
    <n v="880"/>
    <n v="432.25"/>
    <d v="2025-03-06T00:00:00"/>
    <n v="380380"/>
    <x v="10"/>
    <x v="2"/>
    <x v="2"/>
  </r>
  <r>
    <s v="P1184"/>
    <s v="Exist Plus"/>
    <x v="2"/>
    <n v="804"/>
    <n v="440.78"/>
    <d v="2025-04-21T00:00:00"/>
    <n v="354387.12"/>
    <x v="6"/>
    <x v="2"/>
    <x v="5"/>
  </r>
  <r>
    <s v="P1185"/>
    <s v="Rather Plus"/>
    <x v="1"/>
    <n v="402"/>
    <n v="122.16"/>
    <d v="2024-11-01T00:00:00"/>
    <n v="49108.32"/>
    <x v="1"/>
    <x v="1"/>
    <x v="4"/>
  </r>
  <r>
    <s v="P1186"/>
    <s v="Staff X"/>
    <x v="1"/>
    <n v="216"/>
    <n v="454.31"/>
    <d v="2023-01-16T00:00:00"/>
    <n v="98130.96"/>
    <x v="0"/>
    <x v="0"/>
    <x v="5"/>
  </r>
  <r>
    <s v="P1187"/>
    <s v="Change Pro"/>
    <x v="3"/>
    <n v="24"/>
    <n v="297.98"/>
    <d v="2023-08-01T00:00:00"/>
    <n v="7151.52"/>
    <x v="2"/>
    <x v="0"/>
    <x v="6"/>
  </r>
  <r>
    <s v="P1188"/>
    <s v="Current Lite"/>
    <x v="1"/>
    <n v="867"/>
    <n v="178.36"/>
    <d v="2024-07-02T00:00:00"/>
    <n v="154638.12000000002"/>
    <x v="8"/>
    <x v="1"/>
    <x v="6"/>
  </r>
  <r>
    <s v="P1189"/>
    <s v="Paper X"/>
    <x v="0"/>
    <n v="563"/>
    <n v="355.55"/>
    <d v="2023-12-03T00:00:00"/>
    <n v="200174.65"/>
    <x v="11"/>
    <x v="0"/>
    <x v="0"/>
  </r>
  <r>
    <s v="P1190"/>
    <s v="Gas X"/>
    <x v="1"/>
    <n v="901"/>
    <n v="243.43"/>
    <d v="2024-01-03T00:00:00"/>
    <n v="219330.43"/>
    <x v="0"/>
    <x v="1"/>
    <x v="3"/>
  </r>
  <r>
    <s v="P1191"/>
    <s v="Bag Plus"/>
    <x v="4"/>
    <n v="470"/>
    <n v="192.1"/>
    <d v="2023-10-24T00:00:00"/>
    <n v="90287"/>
    <x v="7"/>
    <x v="0"/>
    <x v="6"/>
  </r>
  <r>
    <s v="P1192"/>
    <s v="Especially Max"/>
    <x v="3"/>
    <n v="700"/>
    <n v="354.02"/>
    <d v="2025-04-03T00:00:00"/>
    <n v="247814"/>
    <x v="6"/>
    <x v="2"/>
    <x v="2"/>
  </r>
  <r>
    <s v="P1193"/>
    <s v="People X"/>
    <x v="4"/>
    <n v="584"/>
    <n v="128.12"/>
    <d v="2024-06-11T00:00:00"/>
    <n v="74822.080000000002"/>
    <x v="9"/>
    <x v="1"/>
    <x v="6"/>
  </r>
  <r>
    <s v="P1194"/>
    <s v="Appear Lite"/>
    <x v="6"/>
    <n v="873"/>
    <n v="168.48"/>
    <d v="2025-06-23T00:00:00"/>
    <n v="147083.03999999998"/>
    <x v="9"/>
    <x v="2"/>
    <x v="5"/>
  </r>
  <r>
    <s v="P1195"/>
    <s v="Language Max"/>
    <x v="0"/>
    <n v="752"/>
    <n v="220.05"/>
    <d v="2024-06-08T00:00:00"/>
    <n v="165477.6"/>
    <x v="9"/>
    <x v="1"/>
    <x v="1"/>
  </r>
  <r>
    <s v="P1196"/>
    <s v="Particularly Plus"/>
    <x v="2"/>
    <n v="250"/>
    <n v="130.57"/>
    <d v="2023-01-24T00:00:00"/>
    <n v="32642.5"/>
    <x v="0"/>
    <x v="0"/>
    <x v="6"/>
  </r>
  <r>
    <s v="P1197"/>
    <s v="Child X"/>
    <x v="0"/>
    <n v="573"/>
    <n v="205.58"/>
    <d v="2025-05-17T00:00:00"/>
    <n v="117797.34000000001"/>
    <x v="3"/>
    <x v="2"/>
    <x v="1"/>
  </r>
  <r>
    <s v="P1198"/>
    <s v="Crime Lite"/>
    <x v="6"/>
    <n v="105"/>
    <n v="287.88"/>
    <d v="2024-12-06T00:00:00"/>
    <n v="30227.399999999998"/>
    <x v="11"/>
    <x v="1"/>
    <x v="4"/>
  </r>
  <r>
    <s v="P1199"/>
    <s v="Sell Plus"/>
    <x v="3"/>
    <n v="909"/>
    <n v="371.78"/>
    <d v="2024-11-15T00:00:00"/>
    <n v="337948.01999999996"/>
    <x v="1"/>
    <x v="1"/>
    <x v="4"/>
  </r>
  <r>
    <s v="P1200"/>
    <s v="Your Max"/>
    <x v="6"/>
    <n v="743"/>
    <n v="384.76"/>
    <d v="2025-09-09T00:00:00"/>
    <n v="285876.68"/>
    <x v="5"/>
    <x v="2"/>
    <x v="6"/>
  </r>
  <r>
    <s v="P1201"/>
    <s v="Arrive X"/>
    <x v="2"/>
    <n v="494"/>
    <n v="412.28"/>
    <d v="2024-09-08T00:00:00"/>
    <n v="203666.31999999998"/>
    <x v="5"/>
    <x v="1"/>
    <x v="0"/>
  </r>
  <r>
    <s v="P1202"/>
    <s v="Two Plus"/>
    <x v="6"/>
    <n v="416"/>
    <n v="373.38"/>
    <d v="2023-10-28T00:00:00"/>
    <n v="155326.07999999999"/>
    <x v="7"/>
    <x v="0"/>
    <x v="1"/>
  </r>
  <r>
    <s v="P1203"/>
    <s v="Lead Pro"/>
    <x v="3"/>
    <n v="240"/>
    <n v="342.11"/>
    <d v="2025-10-19T00:00:00"/>
    <n v="82106.400000000009"/>
    <x v="7"/>
    <x v="2"/>
    <x v="0"/>
  </r>
  <r>
    <s v="P1204"/>
    <s v="Financial Pro"/>
    <x v="4"/>
    <n v="758"/>
    <n v="122.57"/>
    <d v="2024-08-06T00:00:00"/>
    <n v="92908.06"/>
    <x v="2"/>
    <x v="1"/>
    <x v="6"/>
  </r>
  <r>
    <s v="P1205"/>
    <s v="East Max"/>
    <x v="1"/>
    <n v="664"/>
    <n v="203.11"/>
    <d v="2023-10-20T00:00:00"/>
    <n v="134865.04"/>
    <x v="7"/>
    <x v="0"/>
    <x v="4"/>
  </r>
  <r>
    <s v="P1206"/>
    <s v="Require Max"/>
    <x v="4"/>
    <n v="180"/>
    <n v="241.47"/>
    <d v="2023-09-14T00:00:00"/>
    <n v="43464.6"/>
    <x v="5"/>
    <x v="0"/>
    <x v="2"/>
  </r>
  <r>
    <s v="P1207"/>
    <s v="Campaign Plus"/>
    <x v="0"/>
    <n v="550"/>
    <n v="46.03"/>
    <d v="2025-07-17T00:00:00"/>
    <n v="25316.5"/>
    <x v="8"/>
    <x v="2"/>
    <x v="2"/>
  </r>
  <r>
    <s v="P1208"/>
    <s v="Boy Lite"/>
    <x v="6"/>
    <n v="45"/>
    <n v="266.54000000000002"/>
    <d v="2024-08-14T00:00:00"/>
    <n v="11994.300000000001"/>
    <x v="2"/>
    <x v="1"/>
    <x v="3"/>
  </r>
  <r>
    <s v="P1209"/>
    <s v="Down Max"/>
    <x v="2"/>
    <n v="534"/>
    <n v="220.99"/>
    <d v="2023-07-14T00:00:00"/>
    <n v="118008.66"/>
    <x v="8"/>
    <x v="0"/>
    <x v="4"/>
  </r>
  <r>
    <s v="P1210"/>
    <s v="Try Lite"/>
    <x v="0"/>
    <n v="169"/>
    <n v="402.04"/>
    <d v="2023-05-28T00:00:00"/>
    <n v="67944.760000000009"/>
    <x v="3"/>
    <x v="0"/>
    <x v="0"/>
  </r>
  <r>
    <s v="P1211"/>
    <s v="Them Lite"/>
    <x v="4"/>
    <n v="558"/>
    <n v="489.06"/>
    <d v="2023-06-11T00:00:00"/>
    <n v="414722.88"/>
    <x v="9"/>
    <x v="0"/>
    <x v="0"/>
  </r>
  <r>
    <s v="P1212"/>
    <s v="Girl Plus"/>
    <x v="4"/>
    <n v="708"/>
    <n v="280.22000000000003"/>
    <d v="2023-11-18T00:00:00"/>
    <n v="198395.76"/>
    <x v="1"/>
    <x v="0"/>
    <x v="1"/>
  </r>
  <r>
    <s v="P1213"/>
    <s v="Big Lite"/>
    <x v="6"/>
    <n v="252"/>
    <n v="164.73"/>
    <d v="2023-07-26T00:00:00"/>
    <n v="41511.96"/>
    <x v="8"/>
    <x v="0"/>
    <x v="3"/>
  </r>
  <r>
    <s v="P1214"/>
    <s v="Relationship Pro"/>
    <x v="6"/>
    <n v="95"/>
    <n v="252.42"/>
    <d v="2024-09-06T00:00:00"/>
    <n v="2515.6"/>
    <x v="5"/>
    <x v="1"/>
    <x v="4"/>
  </r>
  <r>
    <s v="P1215"/>
    <s v="Break X"/>
    <x v="3"/>
    <n v="805"/>
    <n v="462.7"/>
    <d v="2023-10-31T00:00:00"/>
    <n v="372473.5"/>
    <x v="7"/>
    <x v="0"/>
    <x v="6"/>
  </r>
  <r>
    <s v="P1216"/>
    <s v="Technology Plus"/>
    <x v="1"/>
    <n v="587"/>
    <n v="459.96"/>
    <d v="2023-03-21T00:00:00"/>
    <n v="269996.51999999996"/>
    <x v="10"/>
    <x v="0"/>
    <x v="6"/>
  </r>
  <r>
    <s v="P1217"/>
    <s v="Us Max"/>
    <x v="3"/>
    <n v="691"/>
    <n v="130.22999999999999"/>
    <d v="2023-10-08T00:00:00"/>
    <n v="89988.93"/>
    <x v="7"/>
    <x v="0"/>
    <x v="0"/>
  </r>
  <r>
    <s v="P1218"/>
    <s v="Myself X"/>
    <x v="6"/>
    <n v="566"/>
    <n v="349.23"/>
    <d v="2023-03-12T00:00:00"/>
    <n v="197664.18000000002"/>
    <x v="10"/>
    <x v="0"/>
    <x v="0"/>
  </r>
  <r>
    <s v="P1219"/>
    <s v="Son Max"/>
    <x v="6"/>
    <n v="583"/>
    <n v="42.34"/>
    <d v="2025-10-05T00:00:00"/>
    <n v="24684.22"/>
    <x v="7"/>
    <x v="2"/>
    <x v="0"/>
  </r>
  <r>
    <s v="P1220"/>
    <s v="Behavior Plus"/>
    <x v="0"/>
    <n v="962"/>
    <n v="87.28"/>
    <d v="2024-06-18T00:00:00"/>
    <n v="83963.36"/>
    <x v="9"/>
    <x v="1"/>
    <x v="6"/>
  </r>
  <r>
    <s v="P1221"/>
    <s v="Remain Plus"/>
    <x v="2"/>
    <n v="655"/>
    <n v="112.32"/>
    <d v="2023-05-26T00:00:00"/>
    <n v="73569.599999999991"/>
    <x v="3"/>
    <x v="0"/>
    <x v="4"/>
  </r>
  <r>
    <s v="P1222"/>
    <s v="Well Lite"/>
    <x v="6"/>
    <n v="805"/>
    <n v="150.77000000000001"/>
    <d v="2023-07-23T00:00:00"/>
    <n v="121369.85"/>
    <x v="8"/>
    <x v="0"/>
    <x v="0"/>
  </r>
  <r>
    <s v="P1223"/>
    <s v="Everybody Plus"/>
    <x v="2"/>
    <n v="37"/>
    <n v="497.94"/>
    <d v="2025-11-09T00:00:00"/>
    <n v="18423.78"/>
    <x v="1"/>
    <x v="2"/>
    <x v="0"/>
  </r>
  <r>
    <s v="P1224"/>
    <s v="News X"/>
    <x v="1"/>
    <n v="629"/>
    <n v="349.98"/>
    <d v="2025-02-21T00:00:00"/>
    <n v="220137.42"/>
    <x v="4"/>
    <x v="2"/>
    <x v="4"/>
  </r>
  <r>
    <s v="P1225"/>
    <s v="Local Max"/>
    <x v="1"/>
    <n v="565"/>
    <n v="195.18"/>
    <d v="2023-07-13T00:00:00"/>
    <n v="110276.7"/>
    <x v="8"/>
    <x v="0"/>
    <x v="2"/>
  </r>
  <r>
    <s v="P1226"/>
    <s v="Against Lite"/>
    <x v="0"/>
    <n v="349"/>
    <n v="369.86"/>
    <d v="2024-02-25T00:00:00"/>
    <n v="129081.14"/>
    <x v="4"/>
    <x v="1"/>
    <x v="0"/>
  </r>
  <r>
    <s v="P1227"/>
    <s v="Risk Max"/>
    <x v="4"/>
    <n v="807"/>
    <n v="458.05"/>
    <d v="2023-07-18T00:00:00"/>
    <n v="369646.35000000003"/>
    <x v="8"/>
    <x v="0"/>
    <x v="6"/>
  </r>
  <r>
    <s v="P1228"/>
    <s v="Who Lite"/>
    <x v="1"/>
    <n v="967"/>
    <n v="479.56"/>
    <d v="2023-07-12T00:00:00"/>
    <n v="463734.52"/>
    <x v="8"/>
    <x v="0"/>
    <x v="3"/>
  </r>
  <r>
    <s v="P1229"/>
    <s v="Green Max"/>
    <x v="6"/>
    <n v="340"/>
    <n v="33.64"/>
    <d v="2023-08-20T00:00:00"/>
    <n v="11437.6"/>
    <x v="2"/>
    <x v="0"/>
    <x v="0"/>
  </r>
  <r>
    <s v="P1230"/>
    <s v="Probably Plus"/>
    <x v="6"/>
    <n v="649"/>
    <n v="200.29"/>
    <d v="2024-05-22T00:00:00"/>
    <n v="129988.20999999999"/>
    <x v="3"/>
    <x v="1"/>
    <x v="3"/>
  </r>
  <r>
    <s v="P1231"/>
    <s v="Nearly Pro"/>
    <x v="1"/>
    <n v="515"/>
    <n v="57.84"/>
    <d v="2024-09-03T00:00:00"/>
    <n v="29787.600000000002"/>
    <x v="5"/>
    <x v="1"/>
    <x v="6"/>
  </r>
  <r>
    <s v="P1232"/>
    <s v="Animal Max"/>
    <x v="4"/>
    <n v="357"/>
    <n v="171.15"/>
    <d v="2025-05-12T00:00:00"/>
    <n v="61100.55"/>
    <x v="3"/>
    <x v="2"/>
    <x v="5"/>
  </r>
  <r>
    <s v="P1233"/>
    <s v="Stage Lite"/>
    <x v="4"/>
    <n v="482"/>
    <n v="88.99"/>
    <d v="2024-07-06T00:00:00"/>
    <n v="42893.18"/>
    <x v="8"/>
    <x v="1"/>
    <x v="1"/>
  </r>
  <r>
    <s v="P1234"/>
    <s v="Question Plus"/>
    <x v="3"/>
    <n v="240"/>
    <n v="325.19"/>
    <d v="2023-12-11T00:00:00"/>
    <n v="78045.600000000006"/>
    <x v="11"/>
    <x v="0"/>
    <x v="5"/>
  </r>
  <r>
    <s v="P1235"/>
    <s v="Research Plus"/>
    <x v="6"/>
    <n v="199"/>
    <n v="197.19"/>
    <d v="2023-05-20T00:00:00"/>
    <n v="39240.81"/>
    <x v="3"/>
    <x v="0"/>
    <x v="1"/>
  </r>
  <r>
    <s v="P1236"/>
    <s v="Until Lite"/>
    <x v="3"/>
    <n v="234"/>
    <n v="118.55"/>
    <d v="2023-03-26T00:00:00"/>
    <n v="27740.7"/>
    <x v="10"/>
    <x v="0"/>
    <x v="0"/>
  </r>
  <r>
    <s v="P1237"/>
    <s v="Chair Pro"/>
    <x v="3"/>
    <n v="394"/>
    <n v="136.63999999999999"/>
    <d v="2023-05-02T00:00:00"/>
    <n v="53836.159999999996"/>
    <x v="3"/>
    <x v="0"/>
    <x v="6"/>
  </r>
  <r>
    <s v="P1238"/>
    <s v="Activity Plus"/>
    <x v="3"/>
    <n v="386"/>
    <n v="183.37"/>
    <d v="2025-02-11T00:00:00"/>
    <n v="70780.820000000007"/>
    <x v="4"/>
    <x v="2"/>
    <x v="6"/>
  </r>
  <r>
    <s v="P1239"/>
    <s v="Sign X"/>
    <x v="3"/>
    <n v="292"/>
    <n v="133.68"/>
    <d v="2025-05-21T00:00:00"/>
    <n v="39034.560000000005"/>
    <x v="3"/>
    <x v="2"/>
    <x v="3"/>
  </r>
  <r>
    <s v="P1240"/>
    <s v="Many Pro"/>
    <x v="4"/>
    <n v="558"/>
    <n v="243.48"/>
    <d v="2024-11-06T00:00:00"/>
    <n v="221781.44999999998"/>
    <x v="1"/>
    <x v="1"/>
    <x v="3"/>
  </r>
  <r>
    <s v="P1241"/>
    <s v="From Plus"/>
    <x v="4"/>
    <n v="642"/>
    <n v="21"/>
    <d v="2023-09-30T00:00:00"/>
    <n v="13482"/>
    <x v="5"/>
    <x v="0"/>
    <x v="1"/>
  </r>
  <r>
    <s v="P1242"/>
    <s v="Ball Lite"/>
    <x v="1"/>
    <n v="637"/>
    <n v="143.47999999999999"/>
    <d v="2025-10-04T00:00:00"/>
    <n v="91396.76"/>
    <x v="7"/>
    <x v="2"/>
    <x v="1"/>
  </r>
  <r>
    <s v="P1243"/>
    <s v="Field Plus"/>
    <x v="1"/>
    <n v="982"/>
    <n v="208.55"/>
    <d v="2024-04-01T00:00:00"/>
    <n v="204796.1"/>
    <x v="6"/>
    <x v="1"/>
    <x v="5"/>
  </r>
  <r>
    <s v="P1244"/>
    <s v="Mind Lite"/>
    <x v="0"/>
    <n v="754"/>
    <n v="303.38"/>
    <d v="2023-09-08T00:00:00"/>
    <n v="228748.52"/>
    <x v="5"/>
    <x v="0"/>
    <x v="4"/>
  </r>
  <r>
    <s v="P1245"/>
    <s v="Bed Plus"/>
    <x v="3"/>
    <n v="268"/>
    <n v="139.12"/>
    <d v="2024-04-14T00:00:00"/>
    <n v="37284.160000000003"/>
    <x v="6"/>
    <x v="1"/>
    <x v="0"/>
  </r>
  <r>
    <s v="P1246"/>
    <s v="Weight Pro"/>
    <x v="6"/>
    <n v="368"/>
    <n v="70.930000000000007"/>
    <d v="2024-12-15T00:00:00"/>
    <n v="26102.240000000002"/>
    <x v="11"/>
    <x v="1"/>
    <x v="0"/>
  </r>
  <r>
    <s v="P1247"/>
    <s v="Produce X"/>
    <x v="2"/>
    <n v="719"/>
    <n v="42.72"/>
    <d v="2025-04-29T00:00:00"/>
    <n v="30715.68"/>
    <x v="6"/>
    <x v="2"/>
    <x v="6"/>
  </r>
  <r>
    <s v="P1248"/>
    <s v="Area X"/>
    <x v="6"/>
    <n v="465"/>
    <n v="470.56"/>
    <d v="2024-09-24T00:00:00"/>
    <n v="218810.4"/>
    <x v="5"/>
    <x v="1"/>
    <x v="6"/>
  </r>
  <r>
    <s v="P1249"/>
    <s v="Interest Max"/>
    <x v="4"/>
    <n v="420"/>
    <n v="211.24"/>
    <d v="2023-09-14T00:00:00"/>
    <n v="88720.8"/>
    <x v="5"/>
    <x v="0"/>
    <x v="2"/>
  </r>
  <r>
    <s v="P1250"/>
    <s v="Project Pro"/>
    <x v="1"/>
    <n v="658"/>
    <n v="292.68"/>
    <d v="2025-02-07T00:00:00"/>
    <n v="192583.44"/>
    <x v="4"/>
    <x v="2"/>
    <x v="4"/>
  </r>
  <r>
    <s v="P1251"/>
    <s v="Claim Pro"/>
    <x v="2"/>
    <n v="327"/>
    <n v="459.99"/>
    <d v="2023-04-06T00:00:00"/>
    <n v="150416.73000000001"/>
    <x v="6"/>
    <x v="0"/>
    <x v="2"/>
  </r>
  <r>
    <s v="P1252"/>
    <s v="Pass Pro"/>
    <x v="1"/>
    <n v="686"/>
    <n v="45.96"/>
    <d v="2023-11-13T00:00:00"/>
    <n v="31528.560000000001"/>
    <x v="1"/>
    <x v="0"/>
    <x v="5"/>
  </r>
  <r>
    <s v="P1253"/>
    <s v="Popular Max"/>
    <x v="0"/>
    <n v="234"/>
    <n v="438.95"/>
    <d v="2024-06-07T00:00:00"/>
    <n v="102714.3"/>
    <x v="9"/>
    <x v="1"/>
    <x v="4"/>
  </r>
  <r>
    <s v="P1254"/>
    <s v="Reality Plus"/>
    <x v="4"/>
    <n v="828"/>
    <n v="278.04000000000002"/>
    <d v="2025-07-01T00:00:00"/>
    <n v="230217.12000000002"/>
    <x v="8"/>
    <x v="2"/>
    <x v="6"/>
  </r>
  <r>
    <s v="P1255"/>
    <s v="Claim Max"/>
    <x v="6"/>
    <n v="243"/>
    <n v="86.59"/>
    <d v="2023-03-30T00:00:00"/>
    <n v="21041.370000000003"/>
    <x v="10"/>
    <x v="0"/>
    <x v="2"/>
  </r>
  <r>
    <s v="P1256"/>
    <s v="Onto Pro"/>
    <x v="2"/>
    <n v="693"/>
    <n v="208.57"/>
    <d v="2025-04-17T00:00:00"/>
    <n v="144539.01"/>
    <x v="6"/>
    <x v="2"/>
    <x v="2"/>
  </r>
  <r>
    <s v="P1257"/>
    <s v="Deep Plus"/>
    <x v="4"/>
    <n v="558"/>
    <n v="389.91"/>
    <d v="2024-12-13T00:00:00"/>
    <n v="262409.43"/>
    <x v="11"/>
    <x v="1"/>
    <x v="4"/>
  </r>
  <r>
    <s v="P1258"/>
    <s v="Which Max"/>
    <x v="6"/>
    <n v="984"/>
    <n v="242.78"/>
    <d v="2025-05-12T00:00:00"/>
    <n v="238895.52"/>
    <x v="3"/>
    <x v="2"/>
    <x v="5"/>
  </r>
  <r>
    <s v="P1259"/>
    <s v="House X"/>
    <x v="6"/>
    <n v="836"/>
    <n v="492.72"/>
    <d v="2024-08-29T00:00:00"/>
    <n v="411913.92000000004"/>
    <x v="2"/>
    <x v="1"/>
    <x v="2"/>
  </r>
  <r>
    <s v="P1260"/>
    <s v="Money Plus"/>
    <x v="6"/>
    <n v="383"/>
    <n v="191.49"/>
    <d v="2023-08-08T00:00:00"/>
    <n v="73340.67"/>
    <x v="2"/>
    <x v="0"/>
    <x v="6"/>
  </r>
  <r>
    <s v="P1261"/>
    <s v="Religious Lite"/>
    <x v="6"/>
    <n v="681"/>
    <n v="376.04"/>
    <d v="2025-02-23T00:00:00"/>
    <n v="256083.24000000002"/>
    <x v="4"/>
    <x v="2"/>
    <x v="0"/>
  </r>
  <r>
    <s v="P1262"/>
    <s v="Necessary Pro"/>
    <x v="2"/>
    <n v="617"/>
    <n v="199.53"/>
    <d v="2025-12-24T00:00:00"/>
    <n v="123110.01"/>
    <x v="11"/>
    <x v="2"/>
    <x v="3"/>
  </r>
  <r>
    <s v="P1263"/>
    <s v="College X"/>
    <x v="2"/>
    <n v="481"/>
    <n v="250.06"/>
    <d v="2025-09-06T00:00:00"/>
    <n v="199826.63999999998"/>
    <x v="5"/>
    <x v="2"/>
    <x v="1"/>
  </r>
  <r>
    <s v="P1264"/>
    <s v="Around Pro"/>
    <x v="3"/>
    <n v="242"/>
    <n v="286.7"/>
    <d v="2024-06-06T00:00:00"/>
    <n v="69381.399999999994"/>
    <x v="9"/>
    <x v="1"/>
    <x v="2"/>
  </r>
  <r>
    <s v="P1265"/>
    <s v="Agency X"/>
    <x v="5"/>
    <n v="701"/>
    <n v="36.44"/>
    <d v="2025-05-31T00:00:00"/>
    <n v="25544.44"/>
    <x v="3"/>
    <x v="2"/>
    <x v="1"/>
  </r>
  <r>
    <s v="P1266"/>
    <s v="Great Max"/>
    <x v="2"/>
    <n v="122"/>
    <n v="23.23"/>
    <d v="2025-07-10T00:00:00"/>
    <n v="2834.06"/>
    <x v="8"/>
    <x v="2"/>
    <x v="2"/>
  </r>
  <r>
    <s v="P1267"/>
    <s v="Individual Plus"/>
    <x v="6"/>
    <n v="839"/>
    <n v="71.260000000000005"/>
    <d v="2023-04-08T00:00:00"/>
    <n v="59787.140000000007"/>
    <x v="6"/>
    <x v="0"/>
    <x v="1"/>
  </r>
  <r>
    <s v="P1268"/>
    <s v="Congress Pro"/>
    <x v="3"/>
    <n v="506"/>
    <n v="11.77"/>
    <d v="2023-08-08T00:00:00"/>
    <n v="5955.62"/>
    <x v="2"/>
    <x v="0"/>
    <x v="6"/>
  </r>
  <r>
    <s v="P1269"/>
    <s v="Level Max"/>
    <x v="1"/>
    <n v="451"/>
    <n v="42.3"/>
    <d v="2024-03-06T00:00:00"/>
    <n v="19077.3"/>
    <x v="10"/>
    <x v="1"/>
    <x v="3"/>
  </r>
  <r>
    <s v="P1270"/>
    <s v="Thought X"/>
    <x v="4"/>
    <n v="573"/>
    <n v="347.4"/>
    <d v="2023-11-02T00:00:00"/>
    <n v="199060.19999999998"/>
    <x v="1"/>
    <x v="0"/>
    <x v="2"/>
  </r>
  <r>
    <s v="P1271"/>
    <s v="Return Lite"/>
    <x v="6"/>
    <n v="277"/>
    <n v="269.5"/>
    <d v="2024-06-09T00:00:00"/>
    <n v="74651.5"/>
    <x v="9"/>
    <x v="1"/>
    <x v="0"/>
  </r>
  <r>
    <s v="P1272"/>
    <s v="New Max"/>
    <x v="2"/>
    <n v="519"/>
    <n v="376.21"/>
    <d v="2024-11-19T00:00:00"/>
    <n v="195252.99"/>
    <x v="1"/>
    <x v="1"/>
    <x v="6"/>
  </r>
  <r>
    <s v="P1273"/>
    <s v="Prepare Lite"/>
    <x v="4"/>
    <n v="816"/>
    <n v="457.02"/>
    <d v="2023-11-15T00:00:00"/>
    <n v="372928.32"/>
    <x v="1"/>
    <x v="0"/>
    <x v="3"/>
  </r>
  <r>
    <s v="P1274"/>
    <s v="Probably Plus"/>
    <x v="1"/>
    <n v="395"/>
    <n v="294.64999999999998"/>
    <d v="2023-05-11T00:00:00"/>
    <n v="116386.74999999999"/>
    <x v="3"/>
    <x v="0"/>
    <x v="2"/>
  </r>
  <r>
    <s v="P1275"/>
    <s v="Sport Max"/>
    <x v="4"/>
    <n v="396"/>
    <n v="364.43"/>
    <d v="2023-08-10T00:00:00"/>
    <n v="144314.28"/>
    <x v="2"/>
    <x v="0"/>
    <x v="2"/>
  </r>
  <r>
    <s v="P1276"/>
    <s v="Look Lite"/>
    <x v="1"/>
    <n v="122"/>
    <n v="379.76"/>
    <d v="2023-03-20T00:00:00"/>
    <n v="46330.720000000001"/>
    <x v="10"/>
    <x v="0"/>
    <x v="5"/>
  </r>
  <r>
    <s v="P1277"/>
    <s v="Player X"/>
    <x v="2"/>
    <n v="622"/>
    <n v="192.04"/>
    <d v="2023-12-02T00:00:00"/>
    <n v="119448.87999999999"/>
    <x v="11"/>
    <x v="0"/>
    <x v="1"/>
  </r>
  <r>
    <s v="P1278"/>
    <s v="Occur Lite"/>
    <x v="1"/>
    <n v="634"/>
    <n v="124.34"/>
    <d v="2025-02-25T00:00:00"/>
    <n v="78831.56"/>
    <x v="4"/>
    <x v="2"/>
    <x v="6"/>
  </r>
  <r>
    <s v="P1279"/>
    <s v="Buy Plus"/>
    <x v="0"/>
    <n v="961"/>
    <n v="106.5"/>
    <d v="2023-04-17T00:00:00"/>
    <n v="102346.5"/>
    <x v="6"/>
    <x v="0"/>
    <x v="5"/>
  </r>
  <r>
    <s v="P1280"/>
    <s v="By Plus"/>
    <x v="6"/>
    <n v="90"/>
    <n v="129.46"/>
    <d v="2024-09-16T00:00:00"/>
    <n v="11651.400000000001"/>
    <x v="5"/>
    <x v="1"/>
    <x v="5"/>
  </r>
  <r>
    <s v="P1281"/>
    <s v="Claim Max"/>
    <x v="4"/>
    <n v="708"/>
    <n v="140.99"/>
    <d v="2025-05-23T00:00:00"/>
    <n v="99820.920000000013"/>
    <x v="3"/>
    <x v="2"/>
    <x v="4"/>
  </r>
  <r>
    <s v="P1282"/>
    <s v="Upon Max"/>
    <x v="1"/>
    <n v="122"/>
    <n v="107.58"/>
    <d v="2024-05-19T00:00:00"/>
    <n v="13124.76"/>
    <x v="3"/>
    <x v="1"/>
    <x v="0"/>
  </r>
  <r>
    <s v="P1283"/>
    <s v="Idea Lite"/>
    <x v="1"/>
    <n v="11"/>
    <n v="439.72"/>
    <d v="2025-04-18T00:00:00"/>
    <n v="4836.92"/>
    <x v="6"/>
    <x v="2"/>
    <x v="4"/>
  </r>
  <r>
    <s v="P1284"/>
    <s v="Least Pro"/>
    <x v="2"/>
    <n v="651"/>
    <n v="379.71"/>
    <d v="2025-01-01T00:00:00"/>
    <n v="247191.21"/>
    <x v="0"/>
    <x v="2"/>
    <x v="3"/>
  </r>
  <r>
    <s v="P1285"/>
    <s v="East Pro"/>
    <x v="0"/>
    <n v="229"/>
    <n v="28.21"/>
    <d v="2024-11-16T00:00:00"/>
    <n v="6460.09"/>
    <x v="1"/>
    <x v="1"/>
    <x v="1"/>
  </r>
  <r>
    <s v="P1286"/>
    <s v="White X"/>
    <x v="3"/>
    <n v="575"/>
    <n v="137.99"/>
    <d v="2025-09-14T00:00:00"/>
    <n v="79344.25"/>
    <x v="5"/>
    <x v="2"/>
    <x v="0"/>
  </r>
  <r>
    <s v="P1287"/>
    <s v="Yes Pro"/>
    <x v="0"/>
    <n v="864"/>
    <n v="15.98"/>
    <d v="2023-06-08T00:00:00"/>
    <n v="13806.720000000001"/>
    <x v="9"/>
    <x v="0"/>
    <x v="2"/>
  </r>
  <r>
    <s v="P1288"/>
    <s v="Camera Max"/>
    <x v="4"/>
    <n v="745"/>
    <n v="251.59"/>
    <d v="2024-05-01T00:00:00"/>
    <n v="187434.55"/>
    <x v="3"/>
    <x v="1"/>
    <x v="3"/>
  </r>
  <r>
    <s v="P1289"/>
    <s v="Recognize Max"/>
    <x v="6"/>
    <n v="234"/>
    <n v="240.72"/>
    <d v="2024-01-25T00:00:00"/>
    <n v="56328.480000000003"/>
    <x v="0"/>
    <x v="1"/>
    <x v="2"/>
  </r>
  <r>
    <s v="P1290"/>
    <s v="Education X"/>
    <x v="3"/>
    <n v="394"/>
    <n v="416.53"/>
    <d v="2024-11-29T00:00:00"/>
    <n v="164112.81999999998"/>
    <x v="1"/>
    <x v="1"/>
    <x v="4"/>
  </r>
  <r>
    <s v="P1291"/>
    <s v="Door Max"/>
    <x v="6"/>
    <n v="412"/>
    <n v="157.35"/>
    <d v="2023-07-08T00:00:00"/>
    <n v="64828.2"/>
    <x v="8"/>
    <x v="0"/>
    <x v="1"/>
  </r>
  <r>
    <s v="P1292"/>
    <s v="Public Pro"/>
    <x v="4"/>
    <n v="647"/>
    <n v="409.11"/>
    <d v="2025-11-28T00:00:00"/>
    <n v="264694.17"/>
    <x v="1"/>
    <x v="2"/>
    <x v="4"/>
  </r>
  <r>
    <s v="P1293"/>
    <s v="Nice Plus"/>
    <x v="3"/>
    <n v="139"/>
    <n v="484.15"/>
    <d v="2023-09-27T00:00:00"/>
    <n v="67296.849999999991"/>
    <x v="5"/>
    <x v="0"/>
    <x v="3"/>
  </r>
  <r>
    <s v="P1294"/>
    <s v="Only Plus"/>
    <x v="3"/>
    <n v="62"/>
    <n v="48.76"/>
    <d v="2023-12-05T00:00:00"/>
    <n v="3023.12"/>
    <x v="11"/>
    <x v="0"/>
    <x v="6"/>
  </r>
  <r>
    <s v="P1295"/>
    <s v="Wind Lite"/>
    <x v="4"/>
    <n v="693"/>
    <n v="396.95"/>
    <d v="2025-05-12T00:00:00"/>
    <n v="275086.34999999998"/>
    <x v="3"/>
    <x v="2"/>
    <x v="5"/>
  </r>
  <r>
    <s v="P1296"/>
    <s v="Machine Max"/>
    <x v="6"/>
    <n v="739"/>
    <n v="297.02999999999997"/>
    <d v="2025-11-23T00:00:00"/>
    <n v="219505.16999999998"/>
    <x v="1"/>
    <x v="2"/>
    <x v="0"/>
  </r>
  <r>
    <s v="P1297"/>
    <s v="Year Pro"/>
    <x v="0"/>
    <n v="495"/>
    <n v="242.62"/>
    <d v="2024-05-13T00:00:00"/>
    <n v="165224.22"/>
    <x v="3"/>
    <x v="1"/>
    <x v="5"/>
  </r>
  <r>
    <s v="P1298"/>
    <s v="Town X"/>
    <x v="0"/>
    <n v="719"/>
    <n v="213.17"/>
    <d v="2024-08-11T00:00:00"/>
    <n v="153269.22999999998"/>
    <x v="2"/>
    <x v="1"/>
    <x v="0"/>
  </r>
  <r>
    <s v="P1299"/>
    <s v="Back Max"/>
    <x v="1"/>
    <n v="425"/>
    <n v="393.41"/>
    <d v="2025-07-04T00:00:00"/>
    <n v="167199.25"/>
    <x v="8"/>
    <x v="2"/>
    <x v="4"/>
  </r>
  <r>
    <s v="P1300"/>
    <s v="Too Pro"/>
    <x v="2"/>
    <n v="256"/>
    <n v="321.48"/>
    <d v="2024-04-09T00:00:00"/>
    <n v="82298.880000000005"/>
    <x v="6"/>
    <x v="1"/>
    <x v="6"/>
  </r>
  <r>
    <s v="P1301"/>
    <s v="Music Max"/>
    <x v="0"/>
    <n v="845"/>
    <n v="403.5"/>
    <d v="2024-05-01T00:00:00"/>
    <n v="340957.5"/>
    <x v="3"/>
    <x v="1"/>
    <x v="3"/>
  </r>
  <r>
    <s v="P1302"/>
    <s v="Identify Plus"/>
    <x v="1"/>
    <n v="448"/>
    <n v="452.06"/>
    <d v="2025-02-01T00:00:00"/>
    <n v="202522.88"/>
    <x v="4"/>
    <x v="2"/>
    <x v="1"/>
  </r>
  <r>
    <s v="P1303"/>
    <s v="Of X"/>
    <x v="0"/>
    <n v="212"/>
    <n v="310.55"/>
    <d v="2023-10-03T00:00:00"/>
    <n v="65836.600000000006"/>
    <x v="7"/>
    <x v="0"/>
    <x v="6"/>
  </r>
  <r>
    <s v="P1304"/>
    <s v="Kitchen X"/>
    <x v="3"/>
    <n v="193"/>
    <n v="490.33"/>
    <d v="2025-01-07T00:00:00"/>
    <n v="94633.69"/>
    <x v="0"/>
    <x v="2"/>
    <x v="6"/>
  </r>
  <r>
    <s v="P1305"/>
    <s v="Role Plus"/>
    <x v="3"/>
    <n v="132"/>
    <n v="306"/>
    <d v="2023-07-21T00:00:00"/>
    <n v="40392"/>
    <x v="8"/>
    <x v="0"/>
    <x v="4"/>
  </r>
  <r>
    <s v="P1306"/>
    <s v="Official Max"/>
    <x v="0"/>
    <n v="410"/>
    <n v="320.14"/>
    <d v="2024-09-07T00:00:00"/>
    <n v="131257.4"/>
    <x v="5"/>
    <x v="1"/>
    <x v="1"/>
  </r>
  <r>
    <s v="P1307"/>
    <s v="Base X"/>
    <x v="2"/>
    <n v="776"/>
    <n v="279.63"/>
    <d v="2023-11-07T00:00:00"/>
    <n v="216992.88"/>
    <x v="1"/>
    <x v="0"/>
    <x v="6"/>
  </r>
  <r>
    <s v="P1308"/>
    <s v="Offer Plus"/>
    <x v="0"/>
    <n v="303"/>
    <n v="50.05"/>
    <d v="2024-09-13T00:00:00"/>
    <n v="15165.15"/>
    <x v="5"/>
    <x v="1"/>
    <x v="4"/>
  </r>
  <r>
    <s v="P1309"/>
    <s v="Against Pro"/>
    <x v="6"/>
    <n v="289"/>
    <n v="364.57"/>
    <d v="2024-03-13T00:00:00"/>
    <n v="105360.73"/>
    <x v="10"/>
    <x v="1"/>
    <x v="3"/>
  </r>
  <r>
    <s v="P1310"/>
    <s v="Individual Pro"/>
    <x v="3"/>
    <n v="846"/>
    <n v="275.99"/>
    <d v="2024-07-31T00:00:00"/>
    <n v="233487.54"/>
    <x v="8"/>
    <x v="1"/>
    <x v="3"/>
  </r>
  <r>
    <s v="P1311"/>
    <s v="Case X"/>
    <x v="6"/>
    <n v="893"/>
    <n v="228.2"/>
    <d v="2025-08-27T00:00:00"/>
    <n v="203782.59999999998"/>
    <x v="2"/>
    <x v="2"/>
    <x v="3"/>
  </r>
  <r>
    <s v="P1312"/>
    <s v="Increase Pro"/>
    <x v="2"/>
    <n v="619"/>
    <n v="455.68"/>
    <d v="2023-04-17T00:00:00"/>
    <n v="282065.91999999998"/>
    <x v="6"/>
    <x v="0"/>
    <x v="5"/>
  </r>
  <r>
    <s v="P1313"/>
    <s v="Audience X"/>
    <x v="3"/>
    <n v="207"/>
    <n v="152.49"/>
    <d v="2025-07-20T00:00:00"/>
    <n v="31565.43"/>
    <x v="8"/>
    <x v="2"/>
    <x v="0"/>
  </r>
  <r>
    <s v="P1314"/>
    <s v="Morning X"/>
    <x v="2"/>
    <n v="991"/>
    <n v="264.18"/>
    <d v="2024-01-06T00:00:00"/>
    <n v="261802.38"/>
    <x v="0"/>
    <x v="1"/>
    <x v="1"/>
  </r>
  <r>
    <s v="P1315"/>
    <s v="Special X"/>
    <x v="3"/>
    <n v="916"/>
    <n v="350.33"/>
    <d v="2025-10-25T00:00:00"/>
    <n v="320902.27999999997"/>
    <x v="7"/>
    <x v="2"/>
    <x v="1"/>
  </r>
  <r>
    <s v="P1316"/>
    <s v="Sit X"/>
    <x v="4"/>
    <n v="520"/>
    <n v="399.25"/>
    <d v="2023-02-17T00:00:00"/>
    <n v="207610"/>
    <x v="4"/>
    <x v="0"/>
    <x v="4"/>
  </r>
  <r>
    <s v="P1317"/>
    <s v="List Plus"/>
    <x v="6"/>
    <n v="761"/>
    <n v="232.38"/>
    <d v="2023-01-05T00:00:00"/>
    <n v="176841.18"/>
    <x v="0"/>
    <x v="0"/>
    <x v="2"/>
  </r>
  <r>
    <s v="P1318"/>
    <s v="One Lite"/>
    <x v="6"/>
    <n v="153"/>
    <n v="421.84"/>
    <d v="2025-08-07T00:00:00"/>
    <n v="64541.52"/>
    <x v="2"/>
    <x v="2"/>
    <x v="2"/>
  </r>
  <r>
    <s v="P1319"/>
    <s v="They X"/>
    <x v="0"/>
    <n v="618"/>
    <n v="385.61"/>
    <d v="2025-02-20T00:00:00"/>
    <n v="238306.98"/>
    <x v="4"/>
    <x v="2"/>
    <x v="2"/>
  </r>
  <r>
    <s v="P1320"/>
    <s v="Political Lite"/>
    <x v="2"/>
    <n v="210"/>
    <n v="37.79"/>
    <d v="2023-12-30T00:00:00"/>
    <n v="7935.9"/>
    <x v="11"/>
    <x v="0"/>
    <x v="1"/>
  </r>
  <r>
    <s v="P1321"/>
    <s v="Congress X"/>
    <x v="3"/>
    <n v="133"/>
    <n v="27.7"/>
    <d v="2023-09-15T00:00:00"/>
    <n v="3684.1"/>
    <x v="5"/>
    <x v="0"/>
    <x v="4"/>
  </r>
  <r>
    <s v="P1322"/>
    <s v="Away Pro"/>
    <x v="1"/>
    <n v="196"/>
    <n v="312.3"/>
    <d v="2025-08-22T00:00:00"/>
    <n v="61210.8"/>
    <x v="2"/>
    <x v="2"/>
    <x v="4"/>
  </r>
  <r>
    <s v="P1323"/>
    <s v="True Pro"/>
    <x v="2"/>
    <n v="335"/>
    <n v="176.97"/>
    <d v="2023-10-31T00:00:00"/>
    <n v="59284.95"/>
    <x v="7"/>
    <x v="0"/>
    <x v="6"/>
  </r>
  <r>
    <s v="P1324"/>
    <s v="Least X"/>
    <x v="6"/>
    <n v="473"/>
    <n v="108.52"/>
    <d v="2024-02-17T00:00:00"/>
    <n v="51329.96"/>
    <x v="4"/>
    <x v="1"/>
    <x v="1"/>
  </r>
  <r>
    <s v="P1325"/>
    <s v="Way Pro"/>
    <x v="6"/>
    <n v="358"/>
    <n v="291.93"/>
    <d v="2023-12-31T00:00:00"/>
    <n v="104510.94"/>
    <x v="11"/>
    <x v="0"/>
    <x v="0"/>
  </r>
  <r>
    <s v="P1326"/>
    <s v="Receive Max"/>
    <x v="5"/>
    <n v="780"/>
    <n v="174.07"/>
    <d v="2025-06-30T00:00:00"/>
    <n v="135774.6"/>
    <x v="9"/>
    <x v="2"/>
    <x v="5"/>
  </r>
  <r>
    <s v="P1327"/>
    <s v="Smile Max"/>
    <x v="6"/>
    <n v="669"/>
    <n v="270.95"/>
    <d v="2024-01-30T00:00:00"/>
    <n v="181265.55"/>
    <x v="0"/>
    <x v="1"/>
    <x v="6"/>
  </r>
  <r>
    <s v="P1328"/>
    <s v="Simply Plus"/>
    <x v="1"/>
    <n v="773"/>
    <n v="232.76"/>
    <d v="2024-11-05T00:00:00"/>
    <n v="179923.47999999998"/>
    <x v="1"/>
    <x v="1"/>
    <x v="6"/>
  </r>
  <r>
    <s v="P1329"/>
    <s v="Well Max"/>
    <x v="0"/>
    <n v="964"/>
    <n v="294.45999999999998"/>
    <d v="2023-01-08T00:00:00"/>
    <n v="283859.44"/>
    <x v="0"/>
    <x v="0"/>
    <x v="0"/>
  </r>
  <r>
    <s v="P1330"/>
    <s v="Various Max"/>
    <x v="1"/>
    <n v="941"/>
    <n v="203.15"/>
    <d v="2024-03-03T00:00:00"/>
    <n v="191164.15"/>
    <x v="10"/>
    <x v="1"/>
    <x v="0"/>
  </r>
  <r>
    <s v="P1331"/>
    <s v="Former Pro"/>
    <x v="0"/>
    <n v="412"/>
    <n v="350.35"/>
    <d v="2025-04-27T00:00:00"/>
    <n v="144344.20000000001"/>
    <x v="6"/>
    <x v="2"/>
    <x v="0"/>
  </r>
  <r>
    <s v="P1332"/>
    <s v="Send Plus"/>
    <x v="4"/>
    <n v="355"/>
    <n v="94.13"/>
    <d v="2023-11-30T00:00:00"/>
    <n v="33416.15"/>
    <x v="1"/>
    <x v="0"/>
    <x v="2"/>
  </r>
  <r>
    <s v="P1333"/>
    <s v="Education Pro"/>
    <x v="6"/>
    <n v="972"/>
    <n v="349.77"/>
    <d v="2024-04-01T00:00:00"/>
    <n v="339976.44"/>
    <x v="6"/>
    <x v="1"/>
    <x v="5"/>
  </r>
  <r>
    <s v="P1334"/>
    <s v="Guess Pro"/>
    <x v="6"/>
    <n v="520"/>
    <n v="208.77"/>
    <d v="2025-03-30T00:00:00"/>
    <n v="108560.40000000001"/>
    <x v="10"/>
    <x v="2"/>
    <x v="0"/>
  </r>
  <r>
    <s v="P1335"/>
    <s v="Home X"/>
    <x v="2"/>
    <n v="507"/>
    <n v="437.79"/>
    <d v="2023-06-27T00:00:00"/>
    <n v="68295.240000000005"/>
    <x v="9"/>
    <x v="0"/>
    <x v="6"/>
  </r>
  <r>
    <s v="P1336"/>
    <s v="Factor Pro"/>
    <x v="0"/>
    <n v="157"/>
    <n v="260.04000000000002"/>
    <d v="2024-03-06T00:00:00"/>
    <n v="40826.280000000006"/>
    <x v="10"/>
    <x v="1"/>
    <x v="3"/>
  </r>
  <r>
    <s v="P1337"/>
    <s v="Position X"/>
    <x v="1"/>
    <n v="873"/>
    <n v="486.69"/>
    <d v="2024-05-02T00:00:00"/>
    <n v="424880.37"/>
    <x v="3"/>
    <x v="1"/>
    <x v="2"/>
  </r>
  <r>
    <s v="P1338"/>
    <s v="Rise Plus"/>
    <x v="2"/>
    <n v="720"/>
    <n v="302.95999999999998"/>
    <d v="2025-06-25T00:00:00"/>
    <n v="218131.19999999998"/>
    <x v="9"/>
    <x v="2"/>
    <x v="3"/>
  </r>
  <r>
    <s v="P1339"/>
    <s v="Instead Pro"/>
    <x v="2"/>
    <n v="829"/>
    <n v="115.81"/>
    <d v="2024-07-05T00:00:00"/>
    <n v="96006.49"/>
    <x v="8"/>
    <x v="1"/>
    <x v="4"/>
  </r>
  <r>
    <s v="P1340"/>
    <s v="Look Pro"/>
    <x v="0"/>
    <n v="498"/>
    <n v="411.79"/>
    <d v="2025-02-21T00:00:00"/>
    <n v="205071.42"/>
    <x v="4"/>
    <x v="2"/>
    <x v="4"/>
  </r>
  <r>
    <s v="P1341"/>
    <s v="Million Plus"/>
    <x v="2"/>
    <n v="938"/>
    <n v="175.82"/>
    <d v="2024-11-23T00:00:00"/>
    <n v="164919.16"/>
    <x v="1"/>
    <x v="1"/>
    <x v="1"/>
  </r>
  <r>
    <s v="P1342"/>
    <s v="Cold Pro"/>
    <x v="6"/>
    <n v="945"/>
    <n v="177.07"/>
    <d v="2023-11-09T00:00:00"/>
    <n v="167331.15"/>
    <x v="1"/>
    <x v="0"/>
    <x v="2"/>
  </r>
  <r>
    <s v="P1343"/>
    <s v="Through Pro"/>
    <x v="4"/>
    <n v="649"/>
    <n v="20.74"/>
    <d v="2025-10-10T00:00:00"/>
    <n v="13460.259999999998"/>
    <x v="7"/>
    <x v="2"/>
    <x v="4"/>
  </r>
  <r>
    <s v="P1344"/>
    <s v="Blue Lite"/>
    <x v="3"/>
    <n v="560"/>
    <n v="276.61"/>
    <d v="2025-07-16T00:00:00"/>
    <n v="154901.6"/>
    <x v="8"/>
    <x v="2"/>
    <x v="3"/>
  </r>
  <r>
    <s v="P1345"/>
    <s v="Soldier X"/>
    <x v="1"/>
    <n v="347"/>
    <n v="269.54000000000002"/>
    <d v="2025-07-13T00:00:00"/>
    <n v="93530.38"/>
    <x v="8"/>
    <x v="2"/>
    <x v="0"/>
  </r>
  <r>
    <s v="P1346"/>
    <s v="Dog Plus"/>
    <x v="4"/>
    <n v="881"/>
    <n v="181.22"/>
    <d v="2024-06-05T00:00:00"/>
    <n v="159654.82"/>
    <x v="9"/>
    <x v="1"/>
    <x v="3"/>
  </r>
  <r>
    <s v="P1347"/>
    <s v="Own Plus"/>
    <x v="4"/>
    <n v="558"/>
    <n v="447.64"/>
    <d v="2023-02-13T00:00:00"/>
    <n v="290966"/>
    <x v="4"/>
    <x v="0"/>
    <x v="5"/>
  </r>
  <r>
    <s v="P1348"/>
    <s v="Movie Plus"/>
    <x v="2"/>
    <n v="788"/>
    <n v="68.73"/>
    <d v="2024-08-18T00:00:00"/>
    <n v="54159.240000000005"/>
    <x v="2"/>
    <x v="1"/>
    <x v="0"/>
  </r>
  <r>
    <s v="P1349"/>
    <s v="Deal Plus"/>
    <x v="1"/>
    <n v="997"/>
    <n v="168.4"/>
    <d v="2023-03-14T00:00:00"/>
    <n v="167894.80000000002"/>
    <x v="10"/>
    <x v="0"/>
    <x v="6"/>
  </r>
  <r>
    <s v="P1350"/>
    <s v="Court Pro"/>
    <x v="1"/>
    <n v="962"/>
    <n v="164.18"/>
    <d v="2025-06-28T00:00:00"/>
    <n v="157941.16"/>
    <x v="9"/>
    <x v="2"/>
    <x v="1"/>
  </r>
  <r>
    <s v="P1351"/>
    <s v="Federal Lite"/>
    <x v="1"/>
    <n v="482"/>
    <n v="50.68"/>
    <d v="2024-02-29T00:00:00"/>
    <n v="24427.759999999998"/>
    <x v="4"/>
    <x v="1"/>
    <x v="2"/>
  </r>
  <r>
    <s v="P1352"/>
    <s v="Blue X"/>
    <x v="2"/>
    <n v="955"/>
    <n v="243.17"/>
    <d v="2025-01-04T00:00:00"/>
    <n v="232227.34999999998"/>
    <x v="0"/>
    <x v="2"/>
    <x v="1"/>
  </r>
  <r>
    <s v="P1353"/>
    <s v="Growth Max"/>
    <x v="3"/>
    <n v="160"/>
    <n v="345.45"/>
    <d v="2023-01-02T00:00:00"/>
    <n v="55272"/>
    <x v="0"/>
    <x v="0"/>
    <x v="5"/>
  </r>
  <r>
    <s v="P1354"/>
    <s v="Learn X"/>
    <x v="1"/>
    <n v="424"/>
    <n v="258.27"/>
    <d v="2024-05-12T00:00:00"/>
    <n v="109506.48"/>
    <x v="3"/>
    <x v="1"/>
    <x v="0"/>
  </r>
  <r>
    <s v="P1355"/>
    <s v="Represent Pro"/>
    <x v="4"/>
    <n v="999"/>
    <n v="82.7"/>
    <d v="2023-10-07T00:00:00"/>
    <n v="82617.3"/>
    <x v="7"/>
    <x v="0"/>
    <x v="1"/>
  </r>
  <r>
    <s v="P1356"/>
    <s v="Item Max"/>
    <x v="3"/>
    <n v="307"/>
    <n v="191.76"/>
    <d v="2025-11-17T00:00:00"/>
    <n v="58870.32"/>
    <x v="1"/>
    <x v="2"/>
    <x v="5"/>
  </r>
  <r>
    <s v="P1357"/>
    <s v="Although Plus"/>
    <x v="2"/>
    <n v="620"/>
    <n v="6.28"/>
    <d v="2024-02-05T00:00:00"/>
    <n v="3893.6000000000004"/>
    <x v="4"/>
    <x v="1"/>
    <x v="5"/>
  </r>
  <r>
    <s v="P1358"/>
    <s v="Local Pro"/>
    <x v="6"/>
    <n v="272"/>
    <n v="434.81"/>
    <d v="2025-08-05T00:00:00"/>
    <n v="118268.32"/>
    <x v="2"/>
    <x v="2"/>
    <x v="6"/>
  </r>
  <r>
    <s v="P1359"/>
    <s v="Appear Lite"/>
    <x v="3"/>
    <n v="773"/>
    <n v="46.84"/>
    <d v="2025-09-07T00:00:00"/>
    <n v="36207.32"/>
    <x v="5"/>
    <x v="2"/>
    <x v="0"/>
  </r>
  <r>
    <s v="P1360"/>
    <s v="Despite Lite"/>
    <x v="1"/>
    <n v="153"/>
    <n v="300.64999999999998"/>
    <d v="2023-10-06T00:00:00"/>
    <n v="45999.45"/>
    <x v="7"/>
    <x v="0"/>
    <x v="4"/>
  </r>
  <r>
    <s v="P1361"/>
    <s v="More X"/>
    <x v="6"/>
    <n v="355"/>
    <n v="493.2"/>
    <d v="2024-06-02T00:00:00"/>
    <n v="175086"/>
    <x v="9"/>
    <x v="1"/>
    <x v="0"/>
  </r>
  <r>
    <s v="P1362"/>
    <s v="Plan Plus"/>
    <x v="3"/>
    <n v="633"/>
    <n v="270.61"/>
    <d v="2024-03-09T00:00:00"/>
    <n v="171296.13"/>
    <x v="10"/>
    <x v="1"/>
    <x v="1"/>
  </r>
  <r>
    <s v="P1363"/>
    <s v="Your X"/>
    <x v="4"/>
    <n v="581"/>
    <n v="462.4"/>
    <d v="2024-09-07T00:00:00"/>
    <n v="268654.39999999997"/>
    <x v="5"/>
    <x v="1"/>
    <x v="1"/>
  </r>
  <r>
    <s v="P1364"/>
    <s v="Team Plus"/>
    <x v="3"/>
    <n v="890"/>
    <n v="121.88"/>
    <d v="2025-09-29T00:00:00"/>
    <n v="108473.2"/>
    <x v="5"/>
    <x v="2"/>
    <x v="5"/>
  </r>
  <r>
    <s v="P1365"/>
    <s v="Or Lite"/>
    <x v="0"/>
    <n v="11"/>
    <n v="381.18"/>
    <d v="2023-04-01T00:00:00"/>
    <n v="4192.9800000000005"/>
    <x v="6"/>
    <x v="0"/>
    <x v="1"/>
  </r>
  <r>
    <s v="P1366"/>
    <s v="East Plus"/>
    <x v="1"/>
    <n v="906"/>
    <n v="267.98"/>
    <d v="2023-08-16T00:00:00"/>
    <n v="242789.88"/>
    <x v="2"/>
    <x v="0"/>
    <x v="3"/>
  </r>
  <r>
    <s v="P1367"/>
    <s v="Baby Max"/>
    <x v="1"/>
    <n v="313"/>
    <n v="361.66"/>
    <d v="2024-02-27T00:00:00"/>
    <n v="113199.58"/>
    <x v="4"/>
    <x v="1"/>
    <x v="6"/>
  </r>
  <r>
    <s v="P1368"/>
    <s v="Person Max"/>
    <x v="2"/>
    <n v="263"/>
    <n v="35.86"/>
    <d v="2023-02-24T00:00:00"/>
    <n v="9431.18"/>
    <x v="4"/>
    <x v="0"/>
    <x v="4"/>
  </r>
  <r>
    <s v="P1369"/>
    <s v="Reason Pro"/>
    <x v="3"/>
    <n v="661"/>
    <n v="78.13"/>
    <d v="2024-12-03T00:00:00"/>
    <n v="51643.93"/>
    <x v="11"/>
    <x v="1"/>
    <x v="6"/>
  </r>
  <r>
    <s v="P1370"/>
    <s v="Especially Pro"/>
    <x v="6"/>
    <n v="462"/>
    <n v="70.89"/>
    <d v="2024-12-10T00:00:00"/>
    <n v="32751.18"/>
    <x v="11"/>
    <x v="1"/>
    <x v="6"/>
  </r>
  <r>
    <s v="P1371"/>
    <s v="Source Max"/>
    <x v="1"/>
    <n v="46"/>
    <n v="345.15"/>
    <d v="2024-11-06T00:00:00"/>
    <n v="15876.9"/>
    <x v="1"/>
    <x v="1"/>
    <x v="3"/>
  </r>
  <r>
    <s v="P1372"/>
    <s v="Woman Plus"/>
    <x v="0"/>
    <n v="169"/>
    <n v="423"/>
    <d v="2024-04-24T00:00:00"/>
    <n v="71487"/>
    <x v="6"/>
    <x v="1"/>
    <x v="3"/>
  </r>
  <r>
    <s v="P1373"/>
    <s v="Itself Plus"/>
    <x v="4"/>
    <n v="18"/>
    <n v="376.06"/>
    <d v="2025-07-08T00:00:00"/>
    <n v="6769.08"/>
    <x v="8"/>
    <x v="2"/>
    <x v="6"/>
  </r>
  <r>
    <s v="P1374"/>
    <s v="Can X"/>
    <x v="2"/>
    <n v="242"/>
    <n v="20.079999999999998"/>
    <d v="2023-07-11T00:00:00"/>
    <n v="4859.3599999999997"/>
    <x v="8"/>
    <x v="0"/>
    <x v="6"/>
  </r>
  <r>
    <s v="P1375"/>
    <s v="Truth Plus"/>
    <x v="1"/>
    <n v="108"/>
    <n v="434.27"/>
    <d v="2025-09-09T00:00:00"/>
    <n v="46901.159999999996"/>
    <x v="5"/>
    <x v="2"/>
    <x v="6"/>
  </r>
  <r>
    <s v="P1376"/>
    <s v="East Max"/>
    <x v="4"/>
    <n v="668"/>
    <n v="180.3"/>
    <d v="2024-12-26T00:00:00"/>
    <n v="120440.40000000001"/>
    <x v="11"/>
    <x v="1"/>
    <x v="2"/>
  </r>
  <r>
    <s v="P1377"/>
    <s v="Foot X"/>
    <x v="1"/>
    <n v="825"/>
    <n v="201.6"/>
    <d v="2024-06-30T00:00:00"/>
    <n v="166320"/>
    <x v="9"/>
    <x v="1"/>
    <x v="0"/>
  </r>
  <r>
    <s v="P1378"/>
    <s v="Task X"/>
    <x v="3"/>
    <n v="217"/>
    <n v="56.91"/>
    <d v="2024-01-27T00:00:00"/>
    <n v="12349.47"/>
    <x v="0"/>
    <x v="1"/>
    <x v="1"/>
  </r>
  <r>
    <s v="P1379"/>
    <s v="Worry Max"/>
    <x v="6"/>
    <n v="140"/>
    <n v="370.02"/>
    <d v="2023-09-23T00:00:00"/>
    <n v="51802.799999999996"/>
    <x v="5"/>
    <x v="0"/>
    <x v="1"/>
  </r>
  <r>
    <s v="P1380"/>
    <s v="Inside Lite"/>
    <x v="0"/>
    <n v="413"/>
    <n v="95.23"/>
    <d v="2023-12-02T00:00:00"/>
    <n v="39329.990000000005"/>
    <x v="11"/>
    <x v="0"/>
    <x v="1"/>
  </r>
  <r>
    <s v="P1381"/>
    <s v="Although Plus"/>
    <x v="3"/>
    <n v="161"/>
    <n v="244.51"/>
    <d v="2023-11-29T00:00:00"/>
    <n v="45749.760000000002"/>
    <x v="1"/>
    <x v="0"/>
    <x v="3"/>
  </r>
  <r>
    <s v="P1382"/>
    <s v="During Plus"/>
    <x v="6"/>
    <n v="63"/>
    <n v="421.15"/>
    <d v="2025-09-09T00:00:00"/>
    <n v="26532.449999999997"/>
    <x v="5"/>
    <x v="2"/>
    <x v="6"/>
  </r>
  <r>
    <s v="P1383"/>
    <s v="People Plus"/>
    <x v="4"/>
    <n v="129"/>
    <n v="49.16"/>
    <d v="2025-06-09T00:00:00"/>
    <n v="6341.6399999999994"/>
    <x v="9"/>
    <x v="2"/>
    <x v="5"/>
  </r>
  <r>
    <s v="P1384"/>
    <s v="Garden X"/>
    <x v="4"/>
    <n v="682"/>
    <n v="269.99"/>
    <d v="2025-01-21T00:00:00"/>
    <n v="184133.18"/>
    <x v="0"/>
    <x v="2"/>
    <x v="6"/>
  </r>
  <r>
    <s v="P1385"/>
    <s v="Painting Max"/>
    <x v="2"/>
    <n v="929"/>
    <n v="120.44"/>
    <d v="2024-08-12T00:00:00"/>
    <n v="111888.76"/>
    <x v="2"/>
    <x v="1"/>
    <x v="5"/>
  </r>
  <r>
    <s v="P1386"/>
    <s v="Time Max"/>
    <x v="1"/>
    <n v="637"/>
    <n v="174.75"/>
    <d v="2024-05-19T00:00:00"/>
    <n v="111315.75"/>
    <x v="3"/>
    <x v="1"/>
    <x v="0"/>
  </r>
  <r>
    <s v="P1387"/>
    <s v="Popular Pro"/>
    <x v="4"/>
    <n v="596"/>
    <n v="239.62"/>
    <d v="2024-02-09T00:00:00"/>
    <n v="142813.51999999999"/>
    <x v="4"/>
    <x v="1"/>
    <x v="4"/>
  </r>
  <r>
    <s v="P1388"/>
    <s v="Southern X"/>
    <x v="6"/>
    <n v="634"/>
    <n v="180.78"/>
    <d v="2025-05-26T00:00:00"/>
    <n v="114614.52"/>
    <x v="3"/>
    <x v="2"/>
    <x v="5"/>
  </r>
  <r>
    <s v="P1389"/>
    <s v="Money Pro"/>
    <x v="4"/>
    <n v="977"/>
    <n v="326.17"/>
    <d v="2025-05-07T00:00:00"/>
    <n v="318668.09000000003"/>
    <x v="3"/>
    <x v="2"/>
    <x v="3"/>
  </r>
  <r>
    <s v="P1390"/>
    <s v="Mr Max"/>
    <x v="6"/>
    <n v="429"/>
    <n v="242.39"/>
    <d v="2023-02-09T00:00:00"/>
    <n v="103985.31"/>
    <x v="4"/>
    <x v="0"/>
    <x v="2"/>
  </r>
  <r>
    <s v="P1391"/>
    <s v="Memory Pro"/>
    <x v="0"/>
    <n v="431"/>
    <n v="294.18"/>
    <d v="2024-01-21T00:00:00"/>
    <n v="126791.58"/>
    <x v="0"/>
    <x v="1"/>
    <x v="0"/>
  </r>
  <r>
    <s v="P1392"/>
    <s v="Material X"/>
    <x v="2"/>
    <n v="113"/>
    <n v="369.73"/>
    <d v="2023-01-17T00:00:00"/>
    <n v="41779.490000000005"/>
    <x v="0"/>
    <x v="0"/>
    <x v="6"/>
  </r>
  <r>
    <s v="P1393"/>
    <s v="Whatever Plus"/>
    <x v="6"/>
    <n v="861"/>
    <n v="281.08"/>
    <d v="2024-12-30T00:00:00"/>
    <n v="242009.87999999998"/>
    <x v="11"/>
    <x v="1"/>
    <x v="5"/>
  </r>
  <r>
    <s v="P1394"/>
    <s v="Tend Plus"/>
    <x v="3"/>
    <n v="263"/>
    <n v="295.33999999999997"/>
    <d v="2023-09-23T00:00:00"/>
    <n v="77674.42"/>
    <x v="5"/>
    <x v="0"/>
    <x v="1"/>
  </r>
  <r>
    <s v="P1395"/>
    <s v="Leg X"/>
    <x v="1"/>
    <n v="236"/>
    <n v="284.41000000000003"/>
    <d v="2023-04-17T00:00:00"/>
    <n v="67120.760000000009"/>
    <x v="6"/>
    <x v="0"/>
    <x v="5"/>
  </r>
  <r>
    <s v="P1396"/>
    <s v="Structure Max"/>
    <x v="1"/>
    <n v="121"/>
    <n v="192.49"/>
    <d v="2024-09-17T00:00:00"/>
    <n v="23291.29"/>
    <x v="5"/>
    <x v="1"/>
    <x v="6"/>
  </r>
  <r>
    <s v="P1397"/>
    <s v="Notice Max"/>
    <x v="2"/>
    <n v="519"/>
    <n v="172.04"/>
    <d v="2024-09-16T00:00:00"/>
    <n v="89288.76"/>
    <x v="5"/>
    <x v="1"/>
    <x v="5"/>
  </r>
  <r>
    <s v="P1398"/>
    <s v="Quality Plus"/>
    <x v="2"/>
    <n v="482"/>
    <n v="450.33"/>
    <d v="2024-01-10T00:00:00"/>
    <n v="217059.06"/>
    <x v="0"/>
    <x v="1"/>
    <x v="3"/>
  </r>
  <r>
    <s v="P1399"/>
    <s v="Whose Plus"/>
    <x v="2"/>
    <n v="108"/>
    <n v="305.74"/>
    <d v="2025-03-07T00:00:00"/>
    <n v="33019.919999999998"/>
    <x v="10"/>
    <x v="2"/>
    <x v="4"/>
  </r>
  <r>
    <s v="P1400"/>
    <s v="Politics Pro"/>
    <x v="0"/>
    <n v="162"/>
    <n v="125.95"/>
    <d v="2025-03-26T00:00:00"/>
    <n v="20403.900000000001"/>
    <x v="10"/>
    <x v="2"/>
    <x v="3"/>
  </r>
  <r>
    <s v="P1401"/>
    <s v="Hospital Lite"/>
    <x v="2"/>
    <n v="870"/>
    <n v="251.63"/>
    <d v="2023-10-20T00:00:00"/>
    <n v="218918.1"/>
    <x v="7"/>
    <x v="0"/>
    <x v="4"/>
  </r>
  <r>
    <s v="P1402"/>
    <s v="Technology X"/>
    <x v="0"/>
    <n v="923"/>
    <n v="168.52"/>
    <d v="2024-03-30T00:00:00"/>
    <n v="155543.96000000002"/>
    <x v="10"/>
    <x v="1"/>
    <x v="1"/>
  </r>
  <r>
    <s v="P1403"/>
    <s v="War Pro"/>
    <x v="6"/>
    <n v="905"/>
    <n v="467.18"/>
    <d v="2023-10-22T00:00:00"/>
    <n v="422797.9"/>
    <x v="7"/>
    <x v="0"/>
    <x v="0"/>
  </r>
  <r>
    <s v="P1404"/>
    <s v="Bag Lite"/>
    <x v="6"/>
    <n v="887"/>
    <n v="8.73"/>
    <d v="2025-08-11T00:00:00"/>
    <n v="7743.51"/>
    <x v="2"/>
    <x v="2"/>
    <x v="5"/>
  </r>
  <r>
    <s v="P1405"/>
    <s v="Create X"/>
    <x v="6"/>
    <n v="347"/>
    <n v="116.54"/>
    <d v="2023-09-20T00:00:00"/>
    <n v="40439.380000000005"/>
    <x v="5"/>
    <x v="0"/>
    <x v="3"/>
  </r>
  <r>
    <s v="P1406"/>
    <s v="Former Pro"/>
    <x v="1"/>
    <n v="715"/>
    <n v="185.85"/>
    <d v="2025-03-11T00:00:00"/>
    <n v="132882.75"/>
    <x v="10"/>
    <x v="2"/>
    <x v="6"/>
  </r>
  <r>
    <s v="P1407"/>
    <s v="Message X"/>
    <x v="3"/>
    <n v="831"/>
    <n v="246.47"/>
    <d v="2023-03-22T00:00:00"/>
    <n v="204816.57"/>
    <x v="10"/>
    <x v="0"/>
    <x v="3"/>
  </r>
  <r>
    <s v="P1408"/>
    <s v="He Plus"/>
    <x v="1"/>
    <n v="172"/>
    <n v="426.15"/>
    <d v="2023-02-10T00:00:00"/>
    <n v="73297.8"/>
    <x v="4"/>
    <x v="0"/>
    <x v="4"/>
  </r>
  <r>
    <s v="P1409"/>
    <s v="Argue Plus"/>
    <x v="2"/>
    <n v="729"/>
    <n v="48.5"/>
    <d v="2023-07-16T00:00:00"/>
    <n v="35356.5"/>
    <x v="8"/>
    <x v="0"/>
    <x v="0"/>
  </r>
  <r>
    <s v="P1410"/>
    <s v="Tough Pro"/>
    <x v="1"/>
    <n v="966"/>
    <n v="403.9"/>
    <d v="2025-01-06T00:00:00"/>
    <n v="390167.39999999997"/>
    <x v="0"/>
    <x v="2"/>
    <x v="5"/>
  </r>
  <r>
    <s v="P1411"/>
    <s v="Value Plus"/>
    <x v="4"/>
    <n v="690"/>
    <n v="32.549999999999997"/>
    <d v="2025-02-21T00:00:00"/>
    <n v="22459.499999999996"/>
    <x v="4"/>
    <x v="2"/>
    <x v="4"/>
  </r>
  <r>
    <s v="P1412"/>
    <s v="Establish Pro"/>
    <x v="2"/>
    <n v="170"/>
    <n v="421.95"/>
    <d v="2024-03-02T00:00:00"/>
    <n v="71731.5"/>
    <x v="10"/>
    <x v="1"/>
    <x v="1"/>
  </r>
  <r>
    <s v="P1413"/>
    <s v="Interesting Pro"/>
    <x v="4"/>
    <n v="589"/>
    <n v="30.56"/>
    <d v="2025-02-04T00:00:00"/>
    <n v="17999.84"/>
    <x v="4"/>
    <x v="2"/>
    <x v="6"/>
  </r>
  <r>
    <s v="P1414"/>
    <s v="Eye Plus"/>
    <x v="3"/>
    <n v="810"/>
    <n v="14.03"/>
    <d v="2023-02-03T00:00:00"/>
    <n v="11364.3"/>
    <x v="4"/>
    <x v="0"/>
    <x v="4"/>
  </r>
  <r>
    <s v="P1415"/>
    <s v="Majority Pro"/>
    <x v="6"/>
    <n v="407"/>
    <n v="350"/>
    <d v="2023-12-30T00:00:00"/>
    <n v="142450"/>
    <x v="11"/>
    <x v="0"/>
    <x v="1"/>
  </r>
  <r>
    <s v="P1416"/>
    <s v="Stop X"/>
    <x v="6"/>
    <n v="286"/>
    <n v="498.64"/>
    <d v="2024-11-21T00:00:00"/>
    <n v="142611.04"/>
    <x v="1"/>
    <x v="1"/>
    <x v="2"/>
  </r>
  <r>
    <s v="P1417"/>
    <s v="Fish Plus"/>
    <x v="0"/>
    <n v="825"/>
    <n v="448.82"/>
    <d v="2024-05-20T00:00:00"/>
    <n v="370276.5"/>
    <x v="3"/>
    <x v="1"/>
    <x v="5"/>
  </r>
  <r>
    <s v="P1418"/>
    <s v="Left X"/>
    <x v="0"/>
    <n v="925"/>
    <n v="290.12"/>
    <d v="2024-01-22T00:00:00"/>
    <n v="268361"/>
    <x v="0"/>
    <x v="1"/>
    <x v="5"/>
  </r>
  <r>
    <s v="P1419"/>
    <s v="Wear Plus"/>
    <x v="2"/>
    <n v="513"/>
    <n v="250.06"/>
    <d v="2024-08-01T00:00:00"/>
    <n v="235523.43"/>
    <x v="2"/>
    <x v="1"/>
    <x v="2"/>
  </r>
  <r>
    <s v="P1420"/>
    <s v="Notice Max"/>
    <x v="1"/>
    <n v="905"/>
    <n v="7.62"/>
    <d v="2023-01-05T00:00:00"/>
    <n v="6896.1"/>
    <x v="0"/>
    <x v="0"/>
    <x v="2"/>
  </r>
  <r>
    <s v="P1421"/>
    <s v="Boy Plus"/>
    <x v="4"/>
    <n v="401"/>
    <n v="487.66"/>
    <d v="2025-12-18T00:00:00"/>
    <n v="195551.66"/>
    <x v="11"/>
    <x v="2"/>
    <x v="2"/>
  </r>
  <r>
    <s v="P1422"/>
    <s v="Always Max"/>
    <x v="6"/>
    <n v="144"/>
    <n v="247.92"/>
    <d v="2024-12-11T00:00:00"/>
    <n v="35700.479999999996"/>
    <x v="11"/>
    <x v="1"/>
    <x v="3"/>
  </r>
  <r>
    <s v="P1423"/>
    <s v="Travel Lite"/>
    <x v="0"/>
    <n v="204"/>
    <n v="362.83"/>
    <d v="2025-05-11T00:00:00"/>
    <n v="74017.319999999992"/>
    <x v="3"/>
    <x v="2"/>
    <x v="0"/>
  </r>
  <r>
    <s v="P1424"/>
    <s v="Into Pro"/>
    <x v="3"/>
    <n v="410"/>
    <n v="411.33"/>
    <d v="2025-04-11T00:00:00"/>
    <n v="168645.3"/>
    <x v="6"/>
    <x v="2"/>
    <x v="4"/>
  </r>
  <r>
    <s v="P1425"/>
    <s v="As X"/>
    <x v="0"/>
    <n v="649"/>
    <n v="360.64"/>
    <d v="2024-11-04T00:00:00"/>
    <n v="234055.36"/>
    <x v="1"/>
    <x v="1"/>
    <x v="5"/>
  </r>
  <r>
    <s v="P1426"/>
    <s v="Culture Max"/>
    <x v="2"/>
    <n v="42"/>
    <n v="269.83999999999997"/>
    <d v="2025-03-05T00:00:00"/>
    <n v="11333.279999999999"/>
    <x v="10"/>
    <x v="2"/>
    <x v="3"/>
  </r>
  <r>
    <s v="P1427"/>
    <s v="Travel Plus"/>
    <x v="3"/>
    <n v="697"/>
    <n v="240.93"/>
    <d v="2023-04-17T00:00:00"/>
    <n v="167928.21"/>
    <x v="6"/>
    <x v="0"/>
    <x v="5"/>
  </r>
  <r>
    <s v="P1428"/>
    <s v="Statement Pro"/>
    <x v="0"/>
    <n v="469"/>
    <n v="420.1"/>
    <d v="2023-06-25T00:00:00"/>
    <n v="197026.90000000002"/>
    <x v="9"/>
    <x v="0"/>
    <x v="0"/>
  </r>
  <r>
    <s v="P1429"/>
    <s v="Its Pro"/>
    <x v="4"/>
    <n v="964"/>
    <n v="106.51"/>
    <d v="2025-04-26T00:00:00"/>
    <n v="102675.64"/>
    <x v="6"/>
    <x v="2"/>
    <x v="1"/>
  </r>
  <r>
    <s v="P1430"/>
    <s v="Military Max"/>
    <x v="6"/>
    <n v="892"/>
    <n v="484.16"/>
    <d v="2025-12-29T00:00:00"/>
    <n v="431870.72000000003"/>
    <x v="11"/>
    <x v="2"/>
    <x v="5"/>
  </r>
  <r>
    <s v="P1431"/>
    <s v="Range Pro"/>
    <x v="1"/>
    <n v="479"/>
    <n v="356.92"/>
    <d v="2025-12-02T00:00:00"/>
    <n v="170964.68000000002"/>
    <x v="11"/>
    <x v="2"/>
    <x v="6"/>
  </r>
  <r>
    <s v="P1432"/>
    <s v="Remember Max"/>
    <x v="0"/>
    <n v="384"/>
    <n v="257.77"/>
    <d v="2024-03-15T00:00:00"/>
    <n v="39843.840000000004"/>
    <x v="10"/>
    <x v="1"/>
    <x v="4"/>
  </r>
  <r>
    <s v="P1433"/>
    <s v="Agency Max"/>
    <x v="1"/>
    <n v="31"/>
    <n v="369.44"/>
    <d v="2023-09-06T00:00:00"/>
    <n v="11452.64"/>
    <x v="5"/>
    <x v="0"/>
    <x v="3"/>
  </r>
  <r>
    <s v="P1434"/>
    <s v="Best Lite"/>
    <x v="4"/>
    <n v="759"/>
    <n v="267.27"/>
    <d v="2024-06-16T00:00:00"/>
    <n v="202857.93"/>
    <x v="9"/>
    <x v="1"/>
    <x v="0"/>
  </r>
  <r>
    <s v="P1435"/>
    <s v="International Max"/>
    <x v="4"/>
    <n v="679"/>
    <n v="355.08"/>
    <d v="2024-03-24T00:00:00"/>
    <n v="241099.31999999998"/>
    <x v="10"/>
    <x v="1"/>
    <x v="0"/>
  </r>
  <r>
    <s v="P1436"/>
    <s v="Region Max"/>
    <x v="4"/>
    <n v="47"/>
    <n v="385.05"/>
    <d v="2025-04-06T00:00:00"/>
    <n v="18097.350000000002"/>
    <x v="6"/>
    <x v="2"/>
    <x v="0"/>
  </r>
  <r>
    <s v="P1437"/>
    <s v="On X"/>
    <x v="4"/>
    <n v="239"/>
    <n v="48.21"/>
    <d v="2023-06-28T00:00:00"/>
    <n v="11522.19"/>
    <x v="9"/>
    <x v="0"/>
    <x v="3"/>
  </r>
  <r>
    <s v="P1438"/>
    <s v="Large Pro"/>
    <x v="4"/>
    <n v="374"/>
    <n v="255.52"/>
    <d v="2025-06-06T00:00:00"/>
    <n v="95564.48000000001"/>
    <x v="9"/>
    <x v="2"/>
    <x v="4"/>
  </r>
  <r>
    <s v="P1439"/>
    <s v="Only Plus"/>
    <x v="2"/>
    <n v="572"/>
    <n v="466.35"/>
    <d v="2024-09-26T00:00:00"/>
    <n v="266752.2"/>
    <x v="5"/>
    <x v="1"/>
    <x v="2"/>
  </r>
  <r>
    <s v="P1440"/>
    <s v="Them Plus"/>
    <x v="0"/>
    <n v="447"/>
    <n v="163.72"/>
    <d v="2023-01-15T00:00:00"/>
    <n v="73182.84"/>
    <x v="0"/>
    <x v="0"/>
    <x v="0"/>
  </r>
  <r>
    <s v="P1441"/>
    <s v="Because X"/>
    <x v="4"/>
    <n v="785"/>
    <n v="298.97000000000003"/>
    <d v="2023-03-09T00:00:00"/>
    <n v="234691.45"/>
    <x v="10"/>
    <x v="0"/>
    <x v="2"/>
  </r>
  <r>
    <s v="P1442"/>
    <s v="Green Plus"/>
    <x v="3"/>
    <n v="292"/>
    <n v="187.77"/>
    <d v="2023-10-24T00:00:00"/>
    <n v="54828.840000000004"/>
    <x v="7"/>
    <x v="0"/>
    <x v="6"/>
  </r>
  <r>
    <s v="P1443"/>
    <s v="Speech Plus"/>
    <x v="0"/>
    <n v="36"/>
    <n v="229.86"/>
    <d v="2025-12-29T00:00:00"/>
    <n v="8274.9600000000009"/>
    <x v="11"/>
    <x v="2"/>
    <x v="5"/>
  </r>
  <r>
    <s v="P1444"/>
    <s v="Direction X"/>
    <x v="0"/>
    <n v="235"/>
    <n v="276.56"/>
    <d v="2025-10-23T00:00:00"/>
    <n v="64991.6"/>
    <x v="7"/>
    <x v="2"/>
    <x v="2"/>
  </r>
  <r>
    <s v="P1445"/>
    <s v="Reduce Max"/>
    <x v="0"/>
    <n v="286"/>
    <n v="276.72000000000003"/>
    <d v="2025-12-07T00:00:00"/>
    <n v="79141.920000000013"/>
    <x v="11"/>
    <x v="2"/>
    <x v="0"/>
  </r>
  <r>
    <s v="P1446"/>
    <s v="Design X"/>
    <x v="0"/>
    <n v="807"/>
    <n v="104.86"/>
    <d v="2025-01-09T00:00:00"/>
    <n v="84622.02"/>
    <x v="0"/>
    <x v="2"/>
    <x v="2"/>
  </r>
  <r>
    <s v="P1447"/>
    <s v="Gun Plus"/>
    <x v="0"/>
    <n v="495"/>
    <n v="343.86"/>
    <d v="2024-04-17T00:00:00"/>
    <n v="212505.48"/>
    <x v="6"/>
    <x v="1"/>
    <x v="3"/>
  </r>
  <r>
    <s v="P1448"/>
    <s v="Act Max"/>
    <x v="1"/>
    <n v="293"/>
    <n v="48.49"/>
    <d v="2023-10-28T00:00:00"/>
    <n v="14207.57"/>
    <x v="7"/>
    <x v="0"/>
    <x v="1"/>
  </r>
  <r>
    <s v="P1449"/>
    <s v="Tree Max"/>
    <x v="2"/>
    <n v="888"/>
    <n v="73.72"/>
    <d v="2025-08-29T00:00:00"/>
    <n v="65463.360000000001"/>
    <x v="2"/>
    <x v="2"/>
    <x v="4"/>
  </r>
  <r>
    <s v="P1450"/>
    <s v="Keep X"/>
    <x v="2"/>
    <n v="969"/>
    <n v="6.34"/>
    <d v="2025-11-02T00:00:00"/>
    <n v="6143.46"/>
    <x v="1"/>
    <x v="2"/>
    <x v="0"/>
  </r>
  <r>
    <s v="P1451"/>
    <s v="Answer Plus"/>
    <x v="3"/>
    <n v="490"/>
    <n v="62.76"/>
    <d v="2023-02-26T00:00:00"/>
    <n v="30752.399999999998"/>
    <x v="4"/>
    <x v="0"/>
    <x v="0"/>
  </r>
  <r>
    <s v="P1452"/>
    <s v="Such Max"/>
    <x v="3"/>
    <n v="462"/>
    <n v="239.22"/>
    <d v="2024-11-27T00:00:00"/>
    <n v="110519.64"/>
    <x v="1"/>
    <x v="1"/>
    <x v="3"/>
  </r>
  <r>
    <s v="P1453"/>
    <s v="With Max"/>
    <x v="0"/>
    <n v="838"/>
    <n v="305.02"/>
    <d v="2023-07-15T00:00:00"/>
    <n v="255606.75999999998"/>
    <x v="8"/>
    <x v="0"/>
    <x v="1"/>
  </r>
  <r>
    <s v="P1454"/>
    <s v="Catch X"/>
    <x v="4"/>
    <n v="825"/>
    <n v="398.17"/>
    <d v="2023-10-24T00:00:00"/>
    <n v="328490.25"/>
    <x v="7"/>
    <x v="0"/>
    <x v="6"/>
  </r>
  <r>
    <s v="P1455"/>
    <s v="How X"/>
    <x v="0"/>
    <n v="668"/>
    <n v="57.82"/>
    <d v="2023-06-30T00:00:00"/>
    <n v="38623.760000000002"/>
    <x v="9"/>
    <x v="0"/>
    <x v="4"/>
  </r>
  <r>
    <s v="P1456"/>
    <s v="Either X"/>
    <x v="2"/>
    <n v="525"/>
    <n v="426.11"/>
    <d v="2023-02-20T00:00:00"/>
    <n v="223707.75"/>
    <x v="4"/>
    <x v="0"/>
    <x v="5"/>
  </r>
  <r>
    <s v="P1457"/>
    <s v="Here Pro"/>
    <x v="4"/>
    <n v="556"/>
    <n v="374.26"/>
    <d v="2025-05-22T00:00:00"/>
    <n v="208088.56"/>
    <x v="3"/>
    <x v="2"/>
    <x v="2"/>
  </r>
  <r>
    <s v="P1458"/>
    <s v="Which Lite"/>
    <x v="1"/>
    <n v="201"/>
    <n v="207.22"/>
    <d v="2023-03-21T00:00:00"/>
    <n v="41651.22"/>
    <x v="10"/>
    <x v="0"/>
    <x v="6"/>
  </r>
  <r>
    <s v="P1459"/>
    <s v="Administration Pro"/>
    <x v="0"/>
    <n v="58"/>
    <n v="466.8"/>
    <d v="2025-08-06T00:00:00"/>
    <n v="27074.400000000001"/>
    <x v="2"/>
    <x v="2"/>
    <x v="3"/>
  </r>
  <r>
    <s v="P1460"/>
    <s v="Dog Max"/>
    <x v="2"/>
    <n v="521"/>
    <n v="495.51"/>
    <d v="2025-03-30T00:00:00"/>
    <n v="258160.71"/>
    <x v="10"/>
    <x v="2"/>
    <x v="0"/>
  </r>
  <r>
    <s v="P1461"/>
    <s v="Morning Pro"/>
    <x v="4"/>
    <n v="26"/>
    <n v="106.48"/>
    <d v="2023-10-24T00:00:00"/>
    <n v="2768.48"/>
    <x v="7"/>
    <x v="0"/>
    <x v="6"/>
  </r>
  <r>
    <s v="P1462"/>
    <s v="Age Pro"/>
    <x v="2"/>
    <n v="181"/>
    <n v="192.72"/>
    <d v="2025-06-08T00:00:00"/>
    <n v="34882.32"/>
    <x v="9"/>
    <x v="2"/>
    <x v="0"/>
  </r>
  <r>
    <s v="P1463"/>
    <s v="Success Plus"/>
    <x v="1"/>
    <n v="229"/>
    <n v="463.59"/>
    <d v="2025-12-02T00:00:00"/>
    <n v="106162.11"/>
    <x v="11"/>
    <x v="2"/>
    <x v="6"/>
  </r>
  <r>
    <s v="P1464"/>
    <s v="Nature Max"/>
    <x v="3"/>
    <n v="167"/>
    <n v="362.19"/>
    <d v="2023-05-30T00:00:00"/>
    <n v="60485.73"/>
    <x v="3"/>
    <x v="0"/>
    <x v="6"/>
  </r>
  <r>
    <s v="P1465"/>
    <s v="Training Max"/>
    <x v="0"/>
    <n v="486"/>
    <n v="28.81"/>
    <d v="2023-12-20T00:00:00"/>
    <n v="14001.66"/>
    <x v="11"/>
    <x v="0"/>
    <x v="3"/>
  </r>
  <r>
    <s v="P1466"/>
    <s v="Stop X"/>
    <x v="1"/>
    <n v="55"/>
    <n v="391.85"/>
    <d v="2023-02-03T00:00:00"/>
    <n v="21551.75"/>
    <x v="4"/>
    <x v="0"/>
    <x v="4"/>
  </r>
  <r>
    <s v="P1467"/>
    <s v="Ten Max"/>
    <x v="3"/>
    <n v="382"/>
    <n v="414.83"/>
    <d v="2024-05-27T00:00:00"/>
    <n v="158465.06"/>
    <x v="3"/>
    <x v="1"/>
    <x v="5"/>
  </r>
  <r>
    <s v="P1468"/>
    <s v="Whether X"/>
    <x v="4"/>
    <n v="527"/>
    <n v="376.5"/>
    <d v="2025-06-12T00:00:00"/>
    <n v="198415.5"/>
    <x v="9"/>
    <x v="2"/>
    <x v="2"/>
  </r>
  <r>
    <s v="P1469"/>
    <s v="About Max"/>
    <x v="6"/>
    <n v="108"/>
    <n v="400.77"/>
    <d v="2025-08-05T00:00:00"/>
    <n v="43283.159999999996"/>
    <x v="2"/>
    <x v="2"/>
    <x v="6"/>
  </r>
  <r>
    <s v="P1470"/>
    <s v="Another X"/>
    <x v="3"/>
    <n v="901"/>
    <n v="413.44"/>
    <d v="2023-11-09T00:00:00"/>
    <n v="372509.44"/>
    <x v="1"/>
    <x v="0"/>
    <x v="2"/>
  </r>
  <r>
    <s v="P1471"/>
    <s v="Try Pro"/>
    <x v="6"/>
    <n v="754"/>
    <n v="97.27"/>
    <d v="2024-06-26T00:00:00"/>
    <n v="73341.58"/>
    <x v="9"/>
    <x v="1"/>
    <x v="3"/>
  </r>
  <r>
    <s v="P1472"/>
    <s v="Same Max"/>
    <x v="6"/>
    <n v="46"/>
    <n v="121.67"/>
    <d v="2023-12-01T00:00:00"/>
    <n v="5596.82"/>
    <x v="11"/>
    <x v="0"/>
    <x v="4"/>
  </r>
  <r>
    <s v="P1473"/>
    <s v="Cold Max"/>
    <x v="1"/>
    <n v="289"/>
    <n v="318.70999999999998"/>
    <d v="2025-12-05T00:00:00"/>
    <n v="92107.189999999988"/>
    <x v="11"/>
    <x v="2"/>
    <x v="4"/>
  </r>
  <r>
    <s v="P1474"/>
    <s v="Note Max"/>
    <x v="1"/>
    <n v="358"/>
    <n v="454.39"/>
    <d v="2024-03-21T00:00:00"/>
    <n v="162671.62"/>
    <x v="10"/>
    <x v="1"/>
    <x v="2"/>
  </r>
  <r>
    <s v="P1475"/>
    <s v="Nature Plus"/>
    <x v="0"/>
    <n v="506"/>
    <n v="161.52000000000001"/>
    <d v="2024-10-13T00:00:00"/>
    <n v="81729.12000000001"/>
    <x v="7"/>
    <x v="1"/>
    <x v="0"/>
  </r>
  <r>
    <s v="P1476"/>
    <s v="Suggest Lite"/>
    <x v="3"/>
    <n v="311"/>
    <n v="296.20999999999998"/>
    <d v="2023-01-23T00:00:00"/>
    <n v="92121.31"/>
    <x v="0"/>
    <x v="0"/>
    <x v="5"/>
  </r>
  <r>
    <s v="P1477"/>
    <s v="Authority Plus"/>
    <x v="6"/>
    <n v="190"/>
    <n v="343.08"/>
    <d v="2025-01-27T00:00:00"/>
    <n v="65185.2"/>
    <x v="0"/>
    <x v="2"/>
    <x v="5"/>
  </r>
  <r>
    <s v="P1478"/>
    <s v="Nothing Max"/>
    <x v="2"/>
    <n v="616"/>
    <n v="228.71"/>
    <d v="2023-01-22T00:00:00"/>
    <n v="140885.36000000002"/>
    <x v="0"/>
    <x v="0"/>
    <x v="0"/>
  </r>
  <r>
    <s v="P1479"/>
    <s v="Prevent Pro"/>
    <x v="1"/>
    <n v="108"/>
    <n v="358.32"/>
    <d v="2023-06-17T00:00:00"/>
    <n v="38698.559999999998"/>
    <x v="9"/>
    <x v="0"/>
    <x v="1"/>
  </r>
  <r>
    <s v="P1480"/>
    <s v="Far X"/>
    <x v="3"/>
    <n v="709"/>
    <n v="450.34"/>
    <d v="2023-02-22T00:00:00"/>
    <n v="319291.06"/>
    <x v="4"/>
    <x v="0"/>
    <x v="3"/>
  </r>
  <r>
    <s v="P1481"/>
    <s v="Rest Lite"/>
    <x v="6"/>
    <n v="125"/>
    <n v="313.93"/>
    <d v="2023-07-18T00:00:00"/>
    <n v="39241.25"/>
    <x v="8"/>
    <x v="0"/>
    <x v="6"/>
  </r>
  <r>
    <s v="P1482"/>
    <s v="Production X"/>
    <x v="3"/>
    <n v="200"/>
    <n v="272.19"/>
    <d v="2024-09-02T00:00:00"/>
    <n v="54438"/>
    <x v="5"/>
    <x v="1"/>
    <x v="5"/>
  </r>
  <r>
    <s v="P1483"/>
    <s v="Land Max"/>
    <x v="2"/>
    <n v="262"/>
    <n v="222.18"/>
    <d v="2025-09-29T00:00:00"/>
    <n v="58211.16"/>
    <x v="5"/>
    <x v="2"/>
    <x v="5"/>
  </r>
  <r>
    <s v="P1484"/>
    <s v="Course Plus"/>
    <x v="0"/>
    <n v="990"/>
    <n v="290.86"/>
    <d v="2023-11-10T00:00:00"/>
    <n v="287951.40000000002"/>
    <x v="1"/>
    <x v="0"/>
    <x v="4"/>
  </r>
  <r>
    <s v="P1485"/>
    <s v="Sense Pro"/>
    <x v="3"/>
    <n v="937"/>
    <n v="180.9"/>
    <d v="2023-04-30T00:00:00"/>
    <n v="169503.30000000002"/>
    <x v="6"/>
    <x v="0"/>
    <x v="0"/>
  </r>
  <r>
    <s v="P1486"/>
    <s v="Assume X"/>
    <x v="6"/>
    <n v="992"/>
    <n v="198.78"/>
    <d v="2024-04-27T00:00:00"/>
    <n v="197189.76000000001"/>
    <x v="6"/>
    <x v="1"/>
    <x v="1"/>
  </r>
  <r>
    <s v="P1487"/>
    <s v="They Lite"/>
    <x v="4"/>
    <n v="170"/>
    <n v="268.27"/>
    <d v="2024-12-02T00:00:00"/>
    <n v="45605.899999999994"/>
    <x v="11"/>
    <x v="1"/>
    <x v="5"/>
  </r>
  <r>
    <s v="P1488"/>
    <s v="Office Plus"/>
    <x v="0"/>
    <n v="265"/>
    <n v="37.979999999999997"/>
    <d v="2023-12-06T00:00:00"/>
    <n v="10064.699999999999"/>
    <x v="11"/>
    <x v="0"/>
    <x v="3"/>
  </r>
  <r>
    <s v="P1489"/>
    <s v="Look X"/>
    <x v="4"/>
    <n v="332"/>
    <n v="118.37"/>
    <d v="2023-11-20T00:00:00"/>
    <n v="39298.840000000004"/>
    <x v="1"/>
    <x v="0"/>
    <x v="5"/>
  </r>
  <r>
    <s v="P1490"/>
    <s v="Message Lite"/>
    <x v="2"/>
    <n v="137"/>
    <n v="273.70999999999998"/>
    <d v="2024-08-01T00:00:00"/>
    <n v="37498.269999999997"/>
    <x v="2"/>
    <x v="1"/>
    <x v="2"/>
  </r>
  <r>
    <s v="P1491"/>
    <s v="For Plus"/>
    <x v="1"/>
    <n v="27"/>
    <n v="218.61"/>
    <d v="2024-03-30T00:00:00"/>
    <n v="5902.47"/>
    <x v="10"/>
    <x v="1"/>
    <x v="1"/>
  </r>
  <r>
    <s v="P1492"/>
    <s v="Financial Max"/>
    <x v="3"/>
    <n v="802"/>
    <n v="169.74"/>
    <d v="2023-05-13T00:00:00"/>
    <n v="136131.48000000001"/>
    <x v="3"/>
    <x v="0"/>
    <x v="1"/>
  </r>
  <r>
    <s v="P1493"/>
    <s v="Boy X"/>
    <x v="3"/>
    <n v="744"/>
    <n v="366.62"/>
    <d v="2023-03-17T00:00:00"/>
    <n v="272765.28000000003"/>
    <x v="10"/>
    <x v="0"/>
    <x v="4"/>
  </r>
  <r>
    <s v="P1494"/>
    <s v="Run Lite"/>
    <x v="1"/>
    <n v="575"/>
    <n v="348.39"/>
    <d v="2024-11-28T00:00:00"/>
    <n v="200324.25"/>
    <x v="1"/>
    <x v="1"/>
    <x v="2"/>
  </r>
  <r>
    <s v="P1495"/>
    <s v="Available Pro"/>
    <x v="3"/>
    <n v="579"/>
    <n v="87.53"/>
    <d v="2023-07-31T00:00:00"/>
    <n v="50679.87"/>
    <x v="8"/>
    <x v="0"/>
    <x v="5"/>
  </r>
  <r>
    <s v="P1496"/>
    <s v="Thousand X"/>
    <x v="4"/>
    <n v="332"/>
    <n v="439.92"/>
    <d v="2023-02-08T00:00:00"/>
    <n v="146053.44"/>
    <x v="4"/>
    <x v="0"/>
    <x v="3"/>
  </r>
  <r>
    <s v="P1497"/>
    <s v="Cell Lite"/>
    <x v="0"/>
    <n v="881"/>
    <n v="250.23"/>
    <d v="2023-02-01T00:00:00"/>
    <n v="220452.63"/>
    <x v="4"/>
    <x v="0"/>
    <x v="3"/>
  </r>
  <r>
    <s v="P1498"/>
    <s v="Future Pro"/>
    <x v="0"/>
    <n v="695"/>
    <n v="372.02"/>
    <d v="2025-04-17T00:00:00"/>
    <n v="258553.9"/>
    <x v="6"/>
    <x v="2"/>
    <x v="2"/>
  </r>
  <r>
    <s v="P1499"/>
    <s v="Establish Pro"/>
    <x v="3"/>
    <n v="801"/>
    <n v="288.70999999999998"/>
    <d v="2024-04-09T00:00:00"/>
    <n v="231256.71"/>
    <x v="6"/>
    <x v="1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BBEE75-0BE6-4DE0-BE92-F67A7AFA4BA0}" name="PivotTable3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9:B37" firstHeaderRow="1" firstDataRow="1" firstDataCol="1"/>
  <pivotFields count="10">
    <pivotField showAll="0"/>
    <pivotField showAll="0"/>
    <pivotField axis="axisRow" showAll="0">
      <items count="8">
        <item x="6"/>
        <item x="0"/>
        <item x="3"/>
        <item x="2"/>
        <item x="4"/>
        <item x="1"/>
        <item x="5"/>
        <item t="default"/>
      </items>
    </pivotField>
    <pivotField showAll="0"/>
    <pivotField showAll="0"/>
    <pivotField numFmtId="14" showAll="0"/>
    <pivotField dataField="1" numFmtId="164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Revenue" fld="6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CFC56F-05F6-4FA2-99FF-CD4733B66085}" name="PivotTable6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29:F37" firstHeaderRow="1" firstDataRow="1" firstDataCol="1"/>
  <pivotFields count="10">
    <pivotField showAll="0"/>
    <pivotField showAll="0"/>
    <pivotField axis="axisRow" showAll="0">
      <items count="8">
        <item x="6"/>
        <item x="0"/>
        <item x="3"/>
        <item x="2"/>
        <item x="4"/>
        <item x="1"/>
        <item x="5"/>
        <item t="default"/>
      </items>
    </pivotField>
    <pivotField dataField="1" showAll="0"/>
    <pivotField showAll="0"/>
    <pivotField numFmtId="14" showAll="0"/>
    <pivotField numFmtId="164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Units_Sold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112DB6-0195-430A-915E-4AFD8CB45899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F7" firstHeaderRow="1" firstDataRow="1" firstDataCol="1"/>
  <pivotFields count="10">
    <pivotField showAll="0"/>
    <pivotField showAll="0"/>
    <pivotField showAll="0"/>
    <pivotField dataField="1" showAll="0"/>
    <pivotField showAll="0"/>
    <pivotField numFmtId="14" showAll="0"/>
    <pivotField numFmtId="164" showAll="0"/>
    <pivotField showAll="0"/>
    <pivotField axis="axisRow" showAll="0">
      <items count="4">
        <item x="0"/>
        <item x="1"/>
        <item x="2"/>
        <item t="default"/>
      </items>
    </pivotField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Units_Sold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3474FF-5E6B-449C-A407-FD0DD72260C7}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1:D49" firstHeaderRow="0" firstDataRow="1" firstDataCol="1"/>
  <pivotFields count="10">
    <pivotField showAll="0"/>
    <pivotField showAll="0"/>
    <pivotField axis="axisRow" showAll="0">
      <items count="8">
        <item x="6"/>
        <item x="0"/>
        <item x="3"/>
        <item x="2"/>
        <item x="4"/>
        <item x="1"/>
        <item x="5"/>
        <item t="default"/>
      </items>
    </pivotField>
    <pivotField dataField="1" showAll="0"/>
    <pivotField dataField="1" showAll="0"/>
    <pivotField numFmtId="14" showAll="0"/>
    <pivotField dataField="1" numFmtId="164" showAll="0"/>
    <pivotField showAll="0"/>
    <pivotField showAll="0"/>
    <pivotField showAll="0"/>
  </pivotFields>
  <rowFields count="1">
    <field x="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Units_Sold" fld="3" subtotal="average" baseField="2" baseItem="0"/>
    <dataField name="Average of Unit_Price" fld="4" subtotal="average" baseField="2" baseItem="0"/>
    <dataField name="Average of Revenue" fld="6" subtotal="average" baseField="2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6323DA-2F50-4B54-88E3-492DA2D5DC3A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0">
    <pivotField showAll="0"/>
    <pivotField showAll="0"/>
    <pivotField showAll="0"/>
    <pivotField showAll="0"/>
    <pivotField showAll="0"/>
    <pivotField numFmtId="14" showAll="0"/>
    <pivotField dataField="1" numFmtId="164" showAll="0"/>
    <pivotField showAll="0"/>
    <pivotField axis="axisRow" showAll="0">
      <items count="4">
        <item x="0"/>
        <item x="1"/>
        <item x="2"/>
        <item t="default"/>
      </items>
    </pivotField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Revenue" fld="6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C91600-8372-4890-BB28-2D77DA6DF339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15:J23" firstHeaderRow="1" firstDataRow="1" firstDataCol="1"/>
  <pivotFields count="10">
    <pivotField showAll="0"/>
    <pivotField showAll="0"/>
    <pivotField showAll="0"/>
    <pivotField dataField="1" showAll="0"/>
    <pivotField showAll="0"/>
    <pivotField numFmtId="14" showAll="0"/>
    <pivotField numFmtId="164" showAll="0"/>
    <pivotField showAll="0"/>
    <pivotField showAll="0"/>
    <pivotField axis="axisRow" showAll="0">
      <items count="8">
        <item x="5"/>
        <item x="6"/>
        <item x="3"/>
        <item x="2"/>
        <item x="4"/>
        <item x="1"/>
        <item x="0"/>
        <item t="default"/>
      </items>
    </pivotField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Units_Sold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D6CD106-ECBA-4D16-922C-538720EB759E}" name="PivotTable7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J11" firstHeaderRow="1" firstDataRow="1" firstDataCol="1"/>
  <pivotFields count="10">
    <pivotField showAll="0"/>
    <pivotField showAll="0"/>
    <pivotField showAll="0"/>
    <pivotField showAll="0"/>
    <pivotField showAll="0"/>
    <pivotField numFmtId="14" showAll="0"/>
    <pivotField dataField="1" numFmtId="164" showAll="0"/>
    <pivotField showAll="0"/>
    <pivotField showAll="0"/>
    <pivotField axis="axisRow" showAll="0">
      <items count="8">
        <item x="5"/>
        <item x="6"/>
        <item x="3"/>
        <item x="2"/>
        <item x="4"/>
        <item x="1"/>
        <item x="0"/>
        <item t="default"/>
      </items>
    </pivotField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Revenue" fld="6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92C93E-A826-42E8-8722-15C392F3492C}" name="PivotTable1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0:D78" firstHeaderRow="0" firstDataRow="1" firstDataCol="1"/>
  <pivotFields count="10">
    <pivotField showAll="0"/>
    <pivotField showAll="0"/>
    <pivotField showAll="0"/>
    <pivotField dataField="1" showAll="0"/>
    <pivotField dataField="1" showAll="0"/>
    <pivotField numFmtId="14" showAll="0"/>
    <pivotField dataField="1" numFmtId="164" showAll="0"/>
    <pivotField showAll="0"/>
    <pivotField showAll="0"/>
    <pivotField axis="axisRow" showAll="0">
      <items count="8">
        <item x="5"/>
        <item x="6"/>
        <item x="3"/>
        <item x="2"/>
        <item x="4"/>
        <item x="1"/>
        <item x="0"/>
        <item t="default"/>
      </items>
    </pivotField>
  </pivotFields>
  <rowFields count="1">
    <field x="9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Units_Sold" fld="3" subtotal="average" baseField="9" baseItem="0"/>
    <dataField name="Average of Unit_Price" fld="4" subtotal="average" baseField="9" baseItem="0"/>
    <dataField name="Average of Revenue" fld="6" subtotal="average" baseField="9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A3AB30-AE88-409D-8AF4-EFB9EF616A7E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11:F24" firstHeaderRow="1" firstDataRow="1" firstDataCol="1"/>
  <pivotFields count="10">
    <pivotField showAll="0"/>
    <pivotField showAll="0"/>
    <pivotField showAll="0"/>
    <pivotField dataField="1" showAll="0"/>
    <pivotField showAll="0"/>
    <pivotField numFmtId="14" showAll="0"/>
    <pivotField numFmtId="164" showAll="0"/>
    <pivotField axis="axisRow" showAll="0">
      <items count="13">
        <item x="0"/>
        <item x="4"/>
        <item x="10"/>
        <item x="6"/>
        <item x="3"/>
        <item x="9"/>
        <item x="8"/>
        <item x="2"/>
        <item x="5"/>
        <item x="7"/>
        <item x="1"/>
        <item x="11"/>
        <item t="default"/>
      </items>
    </pivotField>
    <pivotField showAll="0"/>
    <pivotField showAll="0"/>
  </pivotFields>
  <rowFields count="1">
    <field x="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Units_Sold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906969-60B6-4EF2-B8BE-C0DB39C92454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1:B24" firstHeaderRow="1" firstDataRow="1" firstDataCol="1"/>
  <pivotFields count="10">
    <pivotField showAll="0"/>
    <pivotField showAll="0"/>
    <pivotField showAll="0"/>
    <pivotField showAll="0"/>
    <pivotField showAll="0"/>
    <pivotField numFmtId="14" showAll="0"/>
    <pivotField dataField="1" numFmtId="164" showAll="0"/>
    <pivotField axis="axisRow" showAll="0">
      <items count="13">
        <item x="0"/>
        <item x="4"/>
        <item x="10"/>
        <item x="6"/>
        <item x="3"/>
        <item x="9"/>
        <item x="8"/>
        <item x="2"/>
        <item x="5"/>
        <item x="7"/>
        <item x="1"/>
        <item x="11"/>
        <item t="default"/>
      </items>
    </pivotField>
    <pivotField showAll="0"/>
    <pivotField showAll="0"/>
  </pivotFields>
  <rowFields count="1">
    <field x="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Revenue" fld="6" baseField="7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DF7550-545E-45DA-BCB2-ADEC65D9D67B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3:D66" firstHeaderRow="0" firstDataRow="1" firstDataCol="1"/>
  <pivotFields count="10">
    <pivotField showAll="0"/>
    <pivotField showAll="0"/>
    <pivotField showAll="0"/>
    <pivotField dataField="1" showAll="0"/>
    <pivotField dataField="1" showAll="0"/>
    <pivotField numFmtId="14" showAll="0"/>
    <pivotField dataField="1" numFmtId="164" showAll="0"/>
    <pivotField axis="axisRow" showAll="0">
      <items count="13">
        <item x="0"/>
        <item x="4"/>
        <item x="10"/>
        <item x="6"/>
        <item x="3"/>
        <item x="9"/>
        <item x="8"/>
        <item x="2"/>
        <item x="5"/>
        <item x="7"/>
        <item x="1"/>
        <item x="11"/>
        <item t="default"/>
      </items>
    </pivotField>
    <pivotField showAll="0"/>
    <pivotField showAll="0"/>
  </pivotFields>
  <rowFields count="1">
    <field x="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Units_Sold" fld="3" subtotal="average" baseField="7" baseItem="0"/>
    <dataField name="Average of Unit_Price" fld="4" subtotal="average" baseField="7" baseItem="0"/>
    <dataField name="Average of Revenue" fld="6" subtotal="average" baseField="7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FA61F11-9526-47F2-8F2C-395D017B5EFE}" autoFormatId="16" applyNumberFormats="0" applyBorderFormats="0" applyFontFormats="0" applyPatternFormats="0" applyAlignmentFormats="0" applyWidthHeightFormats="0">
  <queryTableRefresh nextId="12" unboundColumnsRight="3">
    <queryTableFields count="10">
      <queryTableField id="1" name="Product_ID" tableColumnId="1"/>
      <queryTableField id="2" name="Product_Name" tableColumnId="2"/>
      <queryTableField id="3" name="Category" tableColumnId="3"/>
      <queryTableField id="4" name="Units_Sold" tableColumnId="4"/>
      <queryTableField id="5" name="Unit_Price" tableColumnId="5"/>
      <queryTableField id="6" name="Date_Sold" tableColumnId="6"/>
      <queryTableField id="7" name="Revenue" tableColumnId="7"/>
      <queryTableField id="8" dataBound="0" tableColumnId="8"/>
      <queryTableField id="9" dataBound="0" tableColumnId="9"/>
      <queryTableField id="11" dataBound="0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3F5659-4B83-4FFE-941D-B049128C86D5}" name="product_performance_data" displayName="product_performance_data" ref="A1:J501" tableType="queryTable" totalsRowShown="0">
  <autoFilter ref="A1:J501" xr:uid="{E73F5659-4B83-4FFE-941D-B049128C86D5}"/>
  <sortState xmlns:xlrd2="http://schemas.microsoft.com/office/spreadsheetml/2017/richdata2" ref="A2:J501">
    <sortCondition descending="1" ref="G1:G501"/>
  </sortState>
  <tableColumns count="10">
    <tableColumn id="1" xr3:uid="{8A7DD9BA-DEF6-4F4E-94E9-6DA60A98E25C}" uniqueName="1" name="Product_ID" queryTableFieldId="1" dataDxfId="8"/>
    <tableColumn id="2" xr3:uid="{BF80D08D-5846-455D-ABBA-933692918846}" uniqueName="2" name="Product_Name" queryTableFieldId="2" dataDxfId="7"/>
    <tableColumn id="3" xr3:uid="{06A6DDBA-EBFA-48A2-9436-EDEFE2ACBD46}" uniqueName="3" name="Category" queryTableFieldId="3" dataDxfId="6"/>
    <tableColumn id="4" xr3:uid="{60D09227-DDA9-4BD0-82A3-47D7D71B1F19}" uniqueName="4" name="Units_Sold" queryTableFieldId="4"/>
    <tableColumn id="5" xr3:uid="{BE9F5752-79B2-429B-82F7-6D07EE531B24}" uniqueName="5" name="Unit_Price" queryTableFieldId="5"/>
    <tableColumn id="6" xr3:uid="{9D9662B5-5D42-4888-8E1F-5AAF157CE296}" uniqueName="6" name="Date_Sold" queryTableFieldId="6" dataDxfId="5"/>
    <tableColumn id="7" xr3:uid="{2DFEE09A-9097-4B3E-883E-67F55E130045}" uniqueName="7" name="Revenue" queryTableFieldId="7" dataDxfId="4"/>
    <tableColumn id="8" xr3:uid="{2F97C945-922B-4390-B18E-C7698EBAE786}" uniqueName="8" name="Month" queryTableFieldId="8" dataDxfId="3">
      <calculatedColumnFormula>MONTH(product_performance_data[[#This Row],[Date_Sold]])</calculatedColumnFormula>
    </tableColumn>
    <tableColumn id="9" xr3:uid="{6A06060E-1E5D-4DEC-8AB1-8BE1A93C6832}" uniqueName="9" name="Year" queryTableFieldId="9" dataDxfId="2">
      <calculatedColumnFormula>YEAR(product_performance_data[[#This Row],[Date_Sold]])</calculatedColumnFormula>
    </tableColumn>
    <tableColumn id="11" xr3:uid="{08CBD0CD-FEBE-49FB-A88B-D230319339A8}" uniqueName="11" name="Day Name" queryTableFieldId="11" dataDxfId="1">
      <calculatedColumnFormula>TEXT(product_performance_data[[#This Row],[Date_Sold]],"ddd")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714A-C4FB-469E-A956-7DCDCFCB2750}">
  <dimension ref="A1:M501"/>
  <sheetViews>
    <sheetView tabSelected="1" workbookViewId="0">
      <selection activeCell="A79" sqref="A79"/>
    </sheetView>
  </sheetViews>
  <sheetFormatPr defaultRowHeight="14.4" x14ac:dyDescent="0.3"/>
  <cols>
    <col min="1" max="1" width="12.6640625" bestFit="1" customWidth="1"/>
    <col min="2" max="2" width="16.21875" bestFit="1" customWidth="1"/>
    <col min="3" max="3" width="14.21875" bestFit="1" customWidth="1"/>
    <col min="4" max="4" width="12.21875" bestFit="1" customWidth="1"/>
    <col min="5" max="5" width="11.88671875" bestFit="1" customWidth="1"/>
    <col min="6" max="6" width="16.6640625" customWidth="1"/>
    <col min="7" max="7" width="18.109375" customWidth="1"/>
    <col min="13" max="13" width="14.441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s="1" t="s">
        <v>5</v>
      </c>
      <c r="G1" s="2" t="s">
        <v>6</v>
      </c>
      <c r="H1" t="s">
        <v>988</v>
      </c>
      <c r="I1" t="s">
        <v>989</v>
      </c>
      <c r="J1" t="s">
        <v>1012</v>
      </c>
    </row>
    <row r="2" spans="1:13" x14ac:dyDescent="0.3">
      <c r="A2" t="s">
        <v>168</v>
      </c>
      <c r="B2" t="s">
        <v>169</v>
      </c>
      <c r="C2" t="s">
        <v>30</v>
      </c>
      <c r="D2">
        <v>965</v>
      </c>
      <c r="E2">
        <v>489.86</v>
      </c>
      <c r="F2" s="1">
        <v>45952</v>
      </c>
      <c r="G2" s="2">
        <v>472714.9</v>
      </c>
      <c r="H2">
        <f>MONTH(product_performance_data[[#This Row],[Date_Sold]])</f>
        <v>10</v>
      </c>
      <c r="I2">
        <f>YEAR(product_performance_data[[#This Row],[Date_Sold]])</f>
        <v>2025</v>
      </c>
      <c r="J2" t="str">
        <f>TEXT(product_performance_data[[#This Row],[Date_Sold]],"ddd")</f>
        <v>Wed</v>
      </c>
      <c r="M2" s="44"/>
    </row>
    <row r="3" spans="1:13" x14ac:dyDescent="0.3">
      <c r="A3" t="s">
        <v>462</v>
      </c>
      <c r="B3" t="s">
        <v>463</v>
      </c>
      <c r="C3" t="s">
        <v>12</v>
      </c>
      <c r="D3">
        <v>967</v>
      </c>
      <c r="E3">
        <v>479.56</v>
      </c>
      <c r="F3" s="1">
        <v>45119</v>
      </c>
      <c r="G3" s="2">
        <v>463734.52</v>
      </c>
      <c r="H3">
        <f>MONTH(product_performance_data[[#This Row],[Date_Sold]])</f>
        <v>7</v>
      </c>
      <c r="I3">
        <f>YEAR(product_performance_data[[#This Row],[Date_Sold]])</f>
        <v>2023</v>
      </c>
      <c r="J3" t="str">
        <f>TEXT(product_performance_data[[#This Row],[Date_Sold]],"ddd")</f>
        <v>Wed</v>
      </c>
    </row>
    <row r="4" spans="1:13" x14ac:dyDescent="0.3">
      <c r="A4" t="s">
        <v>186</v>
      </c>
      <c r="B4" t="s">
        <v>187</v>
      </c>
      <c r="C4" t="s">
        <v>37</v>
      </c>
      <c r="D4">
        <v>941</v>
      </c>
      <c r="E4">
        <v>474.83</v>
      </c>
      <c r="F4" s="1">
        <v>45726</v>
      </c>
      <c r="G4" s="2">
        <v>446815.02999999997</v>
      </c>
      <c r="H4">
        <f>MONTH(product_performance_data[[#This Row],[Date_Sold]])</f>
        <v>3</v>
      </c>
      <c r="I4">
        <f>YEAR(product_performance_data[[#This Row],[Date_Sold]])</f>
        <v>2025</v>
      </c>
      <c r="J4" t="str">
        <f>TEXT(product_performance_data[[#This Row],[Date_Sold]],"ddd")</f>
        <v>Mon</v>
      </c>
      <c r="M4" s="44"/>
    </row>
    <row r="5" spans="1:13" x14ac:dyDescent="0.3">
      <c r="A5" t="s">
        <v>852</v>
      </c>
      <c r="B5" t="s">
        <v>853</v>
      </c>
      <c r="C5" t="s">
        <v>63</v>
      </c>
      <c r="D5">
        <v>892</v>
      </c>
      <c r="E5">
        <v>484.16</v>
      </c>
      <c r="F5" s="1">
        <v>46020</v>
      </c>
      <c r="G5" s="2">
        <v>431870.72000000003</v>
      </c>
      <c r="H5">
        <f>MONTH(product_performance_data[[#This Row],[Date_Sold]])</f>
        <v>12</v>
      </c>
      <c r="I5">
        <f>YEAR(product_performance_data[[#This Row],[Date_Sold]])</f>
        <v>2025</v>
      </c>
      <c r="J5" t="str">
        <f>TEXT(product_performance_data[[#This Row],[Date_Sold]],"ddd")</f>
        <v>Mon</v>
      </c>
    </row>
    <row r="6" spans="1:13" x14ac:dyDescent="0.3">
      <c r="A6" t="s">
        <v>675</v>
      </c>
      <c r="B6" t="s">
        <v>676</v>
      </c>
      <c r="C6" t="s">
        <v>12</v>
      </c>
      <c r="D6">
        <v>873</v>
      </c>
      <c r="E6">
        <v>486.69</v>
      </c>
      <c r="F6" s="1">
        <v>45414</v>
      </c>
      <c r="G6" s="2">
        <v>424880.37</v>
      </c>
      <c r="H6">
        <f>MONTH(product_performance_data[[#This Row],[Date_Sold]])</f>
        <v>5</v>
      </c>
      <c r="I6">
        <f>YEAR(product_performance_data[[#This Row],[Date_Sold]])</f>
        <v>2024</v>
      </c>
      <c r="J6" t="str">
        <f>TEXT(product_performance_data[[#This Row],[Date_Sold]],"ddd")</f>
        <v>Thu</v>
      </c>
    </row>
    <row r="7" spans="1:13" x14ac:dyDescent="0.3">
      <c r="A7" t="s">
        <v>801</v>
      </c>
      <c r="B7" t="s">
        <v>802</v>
      </c>
      <c r="C7" t="s">
        <v>63</v>
      </c>
      <c r="D7">
        <v>905</v>
      </c>
      <c r="E7">
        <v>467.18</v>
      </c>
      <c r="F7" s="1">
        <v>45221</v>
      </c>
      <c r="G7" s="2">
        <v>422797.9</v>
      </c>
      <c r="H7">
        <f>MONTH(product_performance_data[[#This Row],[Date_Sold]])</f>
        <v>10</v>
      </c>
      <c r="I7">
        <f>YEAR(product_performance_data[[#This Row],[Date_Sold]])</f>
        <v>2023</v>
      </c>
      <c r="J7" t="str">
        <f>TEXT(product_performance_data[[#This Row],[Date_Sold]],"ddd")</f>
        <v>Sun</v>
      </c>
    </row>
    <row r="8" spans="1:13" x14ac:dyDescent="0.3">
      <c r="A8" t="s">
        <v>429</v>
      </c>
      <c r="B8" t="s">
        <v>430</v>
      </c>
      <c r="C8" t="s">
        <v>37</v>
      </c>
      <c r="D8">
        <v>558</v>
      </c>
      <c r="E8">
        <v>489.06</v>
      </c>
      <c r="F8" s="1">
        <v>45088</v>
      </c>
      <c r="G8" s="2">
        <v>414722.88</v>
      </c>
      <c r="H8">
        <f>MONTH(product_performance_data[[#This Row],[Date_Sold]])</f>
        <v>6</v>
      </c>
      <c r="I8">
        <f>YEAR(product_performance_data[[#This Row],[Date_Sold]])</f>
        <v>2023</v>
      </c>
      <c r="J8" t="str">
        <f>TEXT(product_performance_data[[#This Row],[Date_Sold]],"ddd")</f>
        <v>Sun</v>
      </c>
    </row>
    <row r="9" spans="1:13" x14ac:dyDescent="0.3">
      <c r="A9" t="s">
        <v>523</v>
      </c>
      <c r="B9" t="s">
        <v>524</v>
      </c>
      <c r="C9" t="s">
        <v>63</v>
      </c>
      <c r="D9">
        <v>836</v>
      </c>
      <c r="E9">
        <v>492.72</v>
      </c>
      <c r="F9" s="1">
        <v>45533</v>
      </c>
      <c r="G9" s="2">
        <v>411913.92000000004</v>
      </c>
      <c r="H9">
        <f>MONTH(product_performance_data[[#This Row],[Date_Sold]])</f>
        <v>8</v>
      </c>
      <c r="I9">
        <f>YEAR(product_performance_data[[#This Row],[Date_Sold]])</f>
        <v>2024</v>
      </c>
      <c r="J9" t="str">
        <f>TEXT(product_performance_data[[#This Row],[Date_Sold]],"ddd")</f>
        <v>Thu</v>
      </c>
    </row>
    <row r="10" spans="1:13" x14ac:dyDescent="0.3">
      <c r="A10" t="s">
        <v>72</v>
      </c>
      <c r="B10" t="s">
        <v>73</v>
      </c>
      <c r="C10" t="s">
        <v>63</v>
      </c>
      <c r="D10">
        <v>965</v>
      </c>
      <c r="E10" s="2">
        <v>420.27</v>
      </c>
      <c r="F10" s="1">
        <v>45238</v>
      </c>
      <c r="G10" s="2">
        <v>405560.55</v>
      </c>
      <c r="H10">
        <f>MONTH(product_performance_data[[#This Row],[Date_Sold]])</f>
        <v>11</v>
      </c>
      <c r="I10">
        <f>YEAR(product_performance_data[[#This Row],[Date_Sold]])</f>
        <v>2023</v>
      </c>
      <c r="J10" t="str">
        <f>TEXT(product_performance_data[[#This Row],[Date_Sold]],"ddd")</f>
        <v>Wed</v>
      </c>
    </row>
    <row r="11" spans="1:13" x14ac:dyDescent="0.3">
      <c r="A11" t="s">
        <v>358</v>
      </c>
      <c r="B11" t="s">
        <v>359</v>
      </c>
      <c r="C11" t="s">
        <v>23</v>
      </c>
      <c r="D11">
        <v>952</v>
      </c>
      <c r="E11">
        <v>420.05</v>
      </c>
      <c r="F11" s="1">
        <v>45818</v>
      </c>
      <c r="G11" s="2">
        <v>399887.60000000003</v>
      </c>
      <c r="H11">
        <f>MONTH(product_performance_data[[#This Row],[Date_Sold]])</f>
        <v>6</v>
      </c>
      <c r="I11">
        <f>YEAR(product_performance_data[[#This Row],[Date_Sold]])</f>
        <v>2025</v>
      </c>
      <c r="J11" t="str">
        <f>TEXT(product_performance_data[[#This Row],[Date_Sold]],"ddd")</f>
        <v>Tue</v>
      </c>
    </row>
    <row r="12" spans="1:13" x14ac:dyDescent="0.3">
      <c r="A12" t="s">
        <v>339</v>
      </c>
      <c r="B12" t="s">
        <v>340</v>
      </c>
      <c r="C12" t="s">
        <v>63</v>
      </c>
      <c r="D12">
        <v>814</v>
      </c>
      <c r="E12">
        <v>487.25</v>
      </c>
      <c r="F12" s="1">
        <v>45721</v>
      </c>
      <c r="G12" s="2">
        <v>396621.5</v>
      </c>
      <c r="H12">
        <f>MONTH(product_performance_data[[#This Row],[Date_Sold]])</f>
        <v>3</v>
      </c>
      <c r="I12">
        <f>YEAR(product_performance_data[[#This Row],[Date_Sold]])</f>
        <v>2025</v>
      </c>
      <c r="J12" t="str">
        <f>TEXT(product_performance_data[[#This Row],[Date_Sold]],"ddd")</f>
        <v>Wed</v>
      </c>
    </row>
    <row r="13" spans="1:13" x14ac:dyDescent="0.3">
      <c r="A13" t="s">
        <v>220</v>
      </c>
      <c r="B13" t="s">
        <v>221</v>
      </c>
      <c r="C13" t="s">
        <v>37</v>
      </c>
      <c r="D13">
        <v>967</v>
      </c>
      <c r="E13">
        <v>406.55</v>
      </c>
      <c r="F13" s="1">
        <v>45361</v>
      </c>
      <c r="G13" s="2">
        <v>393133.85000000003</v>
      </c>
      <c r="H13">
        <f>MONTH(product_performance_data[[#This Row],[Date_Sold]])</f>
        <v>3</v>
      </c>
      <c r="I13">
        <f>YEAR(product_performance_data[[#This Row],[Date_Sold]])</f>
        <v>2024</v>
      </c>
      <c r="J13" t="str">
        <f>TEXT(product_performance_data[[#This Row],[Date_Sold]],"ddd")</f>
        <v>Sun</v>
      </c>
    </row>
    <row r="14" spans="1:13" x14ac:dyDescent="0.3">
      <c r="A14" t="s">
        <v>204</v>
      </c>
      <c r="B14" t="s">
        <v>205</v>
      </c>
      <c r="C14" t="s">
        <v>9</v>
      </c>
      <c r="D14">
        <v>831</v>
      </c>
      <c r="E14">
        <v>472.23</v>
      </c>
      <c r="F14" s="1">
        <v>45481</v>
      </c>
      <c r="G14" s="2">
        <v>392423.13</v>
      </c>
      <c r="H14">
        <f>MONTH(product_performance_data[[#This Row],[Date_Sold]])</f>
        <v>7</v>
      </c>
      <c r="I14">
        <f>YEAR(product_performance_data[[#This Row],[Date_Sold]])</f>
        <v>2024</v>
      </c>
      <c r="J14" t="str">
        <f>TEXT(product_performance_data[[#This Row],[Date_Sold]],"ddd")</f>
        <v>Mon</v>
      </c>
    </row>
    <row r="15" spans="1:13" x14ac:dyDescent="0.3">
      <c r="A15" t="s">
        <v>814</v>
      </c>
      <c r="B15" t="s">
        <v>815</v>
      </c>
      <c r="C15" t="s">
        <v>12</v>
      </c>
      <c r="D15">
        <v>966</v>
      </c>
      <c r="E15">
        <v>403.9</v>
      </c>
      <c r="F15" s="1">
        <v>45663</v>
      </c>
      <c r="G15" s="2">
        <v>390167.39999999997</v>
      </c>
      <c r="H15">
        <f>MONTH(product_performance_data[[#This Row],[Date_Sold]])</f>
        <v>1</v>
      </c>
      <c r="I15">
        <f>YEAR(product_performance_data[[#This Row],[Date_Sold]])</f>
        <v>2025</v>
      </c>
      <c r="J15" t="str">
        <f>TEXT(product_performance_data[[#This Row],[Date_Sold]],"ddd")</f>
        <v>Mon</v>
      </c>
    </row>
    <row r="16" spans="1:13" x14ac:dyDescent="0.3">
      <c r="A16" t="s">
        <v>106</v>
      </c>
      <c r="B16" t="s">
        <v>107</v>
      </c>
      <c r="C16" t="s">
        <v>30</v>
      </c>
      <c r="D16">
        <v>792</v>
      </c>
      <c r="E16" s="2">
        <v>484.92</v>
      </c>
      <c r="F16" s="1">
        <v>45876</v>
      </c>
      <c r="G16" s="2">
        <v>384056.64</v>
      </c>
      <c r="H16">
        <f>MONTH(product_performance_data[[#This Row],[Date_Sold]])</f>
        <v>8</v>
      </c>
      <c r="I16">
        <f>YEAR(product_performance_data[[#This Row],[Date_Sold]])</f>
        <v>2025</v>
      </c>
      <c r="J16" t="str">
        <f>TEXT(product_performance_data[[#This Row],[Date_Sold]],"ddd")</f>
        <v>Thu</v>
      </c>
    </row>
    <row r="17" spans="1:10" x14ac:dyDescent="0.3">
      <c r="A17" t="s">
        <v>376</v>
      </c>
      <c r="B17" t="s">
        <v>377</v>
      </c>
      <c r="C17" t="s">
        <v>9</v>
      </c>
      <c r="D17">
        <v>880</v>
      </c>
      <c r="E17">
        <v>432.25</v>
      </c>
      <c r="F17" s="1">
        <v>45722</v>
      </c>
      <c r="G17" s="2">
        <v>380380</v>
      </c>
      <c r="H17">
        <f>MONTH(product_performance_data[[#This Row],[Date_Sold]])</f>
        <v>3</v>
      </c>
      <c r="I17">
        <f>YEAR(product_performance_data[[#This Row],[Date_Sold]])</f>
        <v>2025</v>
      </c>
      <c r="J17" t="str">
        <f>TEXT(product_performance_data[[#This Row],[Date_Sold]],"ddd")</f>
        <v>Thu</v>
      </c>
    </row>
    <row r="18" spans="1:10" x14ac:dyDescent="0.3">
      <c r="A18" t="s">
        <v>308</v>
      </c>
      <c r="B18" t="s">
        <v>309</v>
      </c>
      <c r="C18" t="s">
        <v>23</v>
      </c>
      <c r="D18">
        <v>782</v>
      </c>
      <c r="E18">
        <v>479.48</v>
      </c>
      <c r="F18" s="1">
        <v>45209</v>
      </c>
      <c r="G18" s="2">
        <v>374953.36</v>
      </c>
      <c r="H18">
        <f>MONTH(product_performance_data[[#This Row],[Date_Sold]])</f>
        <v>10</v>
      </c>
      <c r="I18">
        <f>YEAR(product_performance_data[[#This Row],[Date_Sold]])</f>
        <v>2023</v>
      </c>
      <c r="J18" t="str">
        <f>TEXT(product_performance_data[[#This Row],[Date_Sold]],"ddd")</f>
        <v>Tue</v>
      </c>
    </row>
    <row r="19" spans="1:10" x14ac:dyDescent="0.3">
      <c r="A19" t="s">
        <v>550</v>
      </c>
      <c r="B19" t="s">
        <v>551</v>
      </c>
      <c r="C19" t="s">
        <v>37</v>
      </c>
      <c r="D19">
        <v>816</v>
      </c>
      <c r="E19">
        <v>457.02</v>
      </c>
      <c r="F19" s="1">
        <v>45245</v>
      </c>
      <c r="G19" s="2">
        <v>372928.32</v>
      </c>
      <c r="H19">
        <f>MONTH(product_performance_data[[#This Row],[Date_Sold]])</f>
        <v>11</v>
      </c>
      <c r="I19">
        <f>YEAR(product_performance_data[[#This Row],[Date_Sold]])</f>
        <v>2023</v>
      </c>
      <c r="J19" t="str">
        <f>TEXT(product_performance_data[[#This Row],[Date_Sold]],"ddd")</f>
        <v>Wed</v>
      </c>
    </row>
    <row r="20" spans="1:10" x14ac:dyDescent="0.3">
      <c r="A20" t="s">
        <v>929</v>
      </c>
      <c r="B20" t="s">
        <v>930</v>
      </c>
      <c r="C20" t="s">
        <v>30</v>
      </c>
      <c r="D20">
        <v>901</v>
      </c>
      <c r="E20">
        <v>413.44</v>
      </c>
      <c r="F20" s="1">
        <v>45239</v>
      </c>
      <c r="G20" s="2">
        <v>372509.44</v>
      </c>
      <c r="H20">
        <f>MONTH(product_performance_data[[#This Row],[Date_Sold]])</f>
        <v>11</v>
      </c>
      <c r="I20">
        <f>YEAR(product_performance_data[[#This Row],[Date_Sold]])</f>
        <v>2023</v>
      </c>
      <c r="J20" t="str">
        <f>TEXT(product_performance_data[[#This Row],[Date_Sold]],"ddd")</f>
        <v>Thu</v>
      </c>
    </row>
    <row r="21" spans="1:10" x14ac:dyDescent="0.3">
      <c r="A21" t="s">
        <v>437</v>
      </c>
      <c r="B21" t="s">
        <v>438</v>
      </c>
      <c r="C21" t="s">
        <v>30</v>
      </c>
      <c r="D21">
        <v>805</v>
      </c>
      <c r="E21">
        <v>462.7</v>
      </c>
      <c r="F21" s="1">
        <v>45230</v>
      </c>
      <c r="G21" s="2">
        <v>372473.5</v>
      </c>
      <c r="H21">
        <f>MONTH(product_performance_data[[#This Row],[Date_Sold]])</f>
        <v>10</v>
      </c>
      <c r="I21">
        <f>YEAR(product_performance_data[[#This Row],[Date_Sold]])</f>
        <v>2023</v>
      </c>
      <c r="J21" t="str">
        <f>TEXT(product_performance_data[[#This Row],[Date_Sold]],"ddd")</f>
        <v>Tue</v>
      </c>
    </row>
    <row r="22" spans="1:10" x14ac:dyDescent="0.3">
      <c r="A22" t="s">
        <v>828</v>
      </c>
      <c r="B22" t="s">
        <v>829</v>
      </c>
      <c r="C22" t="s">
        <v>9</v>
      </c>
      <c r="D22">
        <v>825</v>
      </c>
      <c r="E22">
        <v>448.82</v>
      </c>
      <c r="F22" s="1">
        <v>45432</v>
      </c>
      <c r="G22" s="2">
        <v>370276.5</v>
      </c>
      <c r="H22">
        <f>MONTH(product_performance_data[[#This Row],[Date_Sold]])</f>
        <v>5</v>
      </c>
      <c r="I22">
        <f>YEAR(product_performance_data[[#This Row],[Date_Sold]])</f>
        <v>2024</v>
      </c>
      <c r="J22" t="str">
        <f>TEXT(product_performance_data[[#This Row],[Date_Sold]],"ddd")</f>
        <v>Mon</v>
      </c>
    </row>
    <row r="23" spans="1:10" x14ac:dyDescent="0.3">
      <c r="A23" t="s">
        <v>460</v>
      </c>
      <c r="B23" t="s">
        <v>461</v>
      </c>
      <c r="C23" t="s">
        <v>37</v>
      </c>
      <c r="D23">
        <v>807</v>
      </c>
      <c r="E23">
        <v>458.05</v>
      </c>
      <c r="F23" s="1">
        <v>45125</v>
      </c>
      <c r="G23" s="2">
        <v>369646.35000000003</v>
      </c>
      <c r="H23">
        <f>MONTH(product_performance_data[[#This Row],[Date_Sold]])</f>
        <v>7</v>
      </c>
      <c r="I23">
        <f>YEAR(product_performance_data[[#This Row],[Date_Sold]])</f>
        <v>2023</v>
      </c>
      <c r="J23" t="str">
        <f>TEXT(product_performance_data[[#This Row],[Date_Sold]],"ddd")</f>
        <v>Tue</v>
      </c>
    </row>
    <row r="24" spans="1:10" x14ac:dyDescent="0.3">
      <c r="A24" t="s">
        <v>260</v>
      </c>
      <c r="B24" t="s">
        <v>261</v>
      </c>
      <c r="C24" t="s">
        <v>30</v>
      </c>
      <c r="D24">
        <v>773</v>
      </c>
      <c r="E24">
        <v>468.64</v>
      </c>
      <c r="F24" s="1">
        <v>45841</v>
      </c>
      <c r="G24" s="2">
        <v>362258.72</v>
      </c>
      <c r="H24">
        <f>MONTH(product_performance_data[[#This Row],[Date_Sold]])</f>
        <v>7</v>
      </c>
      <c r="I24">
        <f>YEAR(product_performance_data[[#This Row],[Date_Sold]])</f>
        <v>2025</v>
      </c>
      <c r="J24" t="str">
        <f>TEXT(product_performance_data[[#This Row],[Date_Sold]],"ddd")</f>
        <v>Thu</v>
      </c>
    </row>
    <row r="25" spans="1:10" x14ac:dyDescent="0.3">
      <c r="A25" t="s">
        <v>378</v>
      </c>
      <c r="B25" t="s">
        <v>379</v>
      </c>
      <c r="C25" t="s">
        <v>23</v>
      </c>
      <c r="D25">
        <v>804</v>
      </c>
      <c r="E25">
        <v>440.78</v>
      </c>
      <c r="F25" s="1">
        <v>45768</v>
      </c>
      <c r="G25" s="2">
        <v>354387.12</v>
      </c>
      <c r="H25">
        <f>MONTH(product_performance_data[[#This Row],[Date_Sold]])</f>
        <v>4</v>
      </c>
      <c r="I25">
        <f>YEAR(product_performance_data[[#This Row],[Date_Sold]])</f>
        <v>2025</v>
      </c>
      <c r="J25" t="str">
        <f>TEXT(product_performance_data[[#This Row],[Date_Sold]],"ddd")</f>
        <v>Mon</v>
      </c>
    </row>
    <row r="26" spans="1:10" x14ac:dyDescent="0.3">
      <c r="A26" t="s">
        <v>348</v>
      </c>
      <c r="B26" t="s">
        <v>349</v>
      </c>
      <c r="C26" t="s">
        <v>9</v>
      </c>
      <c r="D26">
        <v>996</v>
      </c>
      <c r="E26">
        <v>354.39</v>
      </c>
      <c r="F26" s="1">
        <v>45530</v>
      </c>
      <c r="G26" s="2">
        <v>352972.44</v>
      </c>
      <c r="H26">
        <f>MONTH(product_performance_data[[#This Row],[Date_Sold]])</f>
        <v>8</v>
      </c>
      <c r="I26">
        <f>YEAR(product_performance_data[[#This Row],[Date_Sold]])</f>
        <v>2024</v>
      </c>
      <c r="J26" t="str">
        <f>TEXT(product_performance_data[[#This Row],[Date_Sold]],"ddd")</f>
        <v>Mon</v>
      </c>
    </row>
    <row r="27" spans="1:10" x14ac:dyDescent="0.3">
      <c r="A27" t="s">
        <v>337</v>
      </c>
      <c r="B27" t="s">
        <v>338</v>
      </c>
      <c r="C27" t="s">
        <v>9</v>
      </c>
      <c r="D27">
        <v>737</v>
      </c>
      <c r="E27">
        <v>465.81</v>
      </c>
      <c r="F27" s="1">
        <v>45499</v>
      </c>
      <c r="G27" s="2">
        <v>343301.97000000003</v>
      </c>
      <c r="H27">
        <f>MONTH(product_performance_data[[#This Row],[Date_Sold]])</f>
        <v>7</v>
      </c>
      <c r="I27">
        <f>YEAR(product_performance_data[[#This Row],[Date_Sold]])</f>
        <v>2024</v>
      </c>
      <c r="J27" t="str">
        <f>TEXT(product_performance_data[[#This Row],[Date_Sold]],"ddd")</f>
        <v>Fri</v>
      </c>
    </row>
    <row r="28" spans="1:10" x14ac:dyDescent="0.3">
      <c r="A28" t="s">
        <v>604</v>
      </c>
      <c r="B28" t="s">
        <v>605</v>
      </c>
      <c r="C28" t="s">
        <v>9</v>
      </c>
      <c r="D28">
        <v>845</v>
      </c>
      <c r="E28">
        <v>403.5</v>
      </c>
      <c r="F28" s="1">
        <v>45413</v>
      </c>
      <c r="G28" s="2">
        <v>340957.5</v>
      </c>
      <c r="H28">
        <f>MONTH(product_performance_data[[#This Row],[Date_Sold]])</f>
        <v>5</v>
      </c>
      <c r="I28">
        <f>YEAR(product_performance_data[[#This Row],[Date_Sold]])</f>
        <v>2024</v>
      </c>
      <c r="J28" t="str">
        <f>TEXT(product_performance_data[[#This Row],[Date_Sold]],"ddd")</f>
        <v>Wed</v>
      </c>
    </row>
    <row r="29" spans="1:10" x14ac:dyDescent="0.3">
      <c r="A29" t="s">
        <v>667</v>
      </c>
      <c r="B29" t="s">
        <v>668</v>
      </c>
      <c r="C29" t="s">
        <v>63</v>
      </c>
      <c r="D29">
        <v>972</v>
      </c>
      <c r="E29">
        <v>349.77</v>
      </c>
      <c r="F29" s="1">
        <v>45383</v>
      </c>
      <c r="G29" s="2">
        <v>339976.44</v>
      </c>
      <c r="H29">
        <f>MONTH(product_performance_data[[#This Row],[Date_Sold]])</f>
        <v>4</v>
      </c>
      <c r="I29">
        <f>YEAR(product_performance_data[[#This Row],[Date_Sold]])</f>
        <v>2024</v>
      </c>
      <c r="J29" t="str">
        <f>TEXT(product_performance_data[[#This Row],[Date_Sold]],"ddd")</f>
        <v>Mon</v>
      </c>
    </row>
    <row r="30" spans="1:10" x14ac:dyDescent="0.3">
      <c r="A30" t="s">
        <v>226</v>
      </c>
      <c r="B30" t="s">
        <v>227</v>
      </c>
      <c r="C30" t="s">
        <v>63</v>
      </c>
      <c r="D30">
        <v>825</v>
      </c>
      <c r="E30">
        <v>411.11</v>
      </c>
      <c r="F30" s="1">
        <v>45039</v>
      </c>
      <c r="G30" s="2">
        <v>339165.75</v>
      </c>
      <c r="H30">
        <f>MONTH(product_performance_data[[#This Row],[Date_Sold]])</f>
        <v>4</v>
      </c>
      <c r="I30">
        <f>YEAR(product_performance_data[[#This Row],[Date_Sold]])</f>
        <v>2023</v>
      </c>
      <c r="J30" t="str">
        <f>TEXT(product_performance_data[[#This Row],[Date_Sold]],"ddd")</f>
        <v>Sun</v>
      </c>
    </row>
    <row r="31" spans="1:10" x14ac:dyDescent="0.3">
      <c r="A31" t="s">
        <v>406</v>
      </c>
      <c r="B31" t="s">
        <v>407</v>
      </c>
      <c r="C31" t="s">
        <v>30</v>
      </c>
      <c r="D31">
        <v>909</v>
      </c>
      <c r="E31">
        <v>371.78</v>
      </c>
      <c r="F31" s="1">
        <v>45611</v>
      </c>
      <c r="G31" s="2">
        <v>337948.01999999996</v>
      </c>
      <c r="H31">
        <f>MONTH(product_performance_data[[#This Row],[Date_Sold]])</f>
        <v>11</v>
      </c>
      <c r="I31">
        <f>YEAR(product_performance_data[[#This Row],[Date_Sold]])</f>
        <v>2024</v>
      </c>
      <c r="J31" t="str">
        <f>TEXT(product_performance_data[[#This Row],[Date_Sold]],"ddd")</f>
        <v>Fri</v>
      </c>
    </row>
    <row r="32" spans="1:10" x14ac:dyDescent="0.3">
      <c r="A32" t="s">
        <v>352</v>
      </c>
      <c r="B32" t="s">
        <v>353</v>
      </c>
      <c r="C32" t="s">
        <v>30</v>
      </c>
      <c r="D32">
        <v>970</v>
      </c>
      <c r="E32">
        <v>345.57</v>
      </c>
      <c r="F32" s="1">
        <v>45086</v>
      </c>
      <c r="G32" s="2">
        <v>335202.89999999997</v>
      </c>
      <c r="H32">
        <f>MONTH(product_performance_data[[#This Row],[Date_Sold]])</f>
        <v>6</v>
      </c>
      <c r="I32">
        <f>YEAR(product_performance_data[[#This Row],[Date_Sold]])</f>
        <v>2023</v>
      </c>
      <c r="J32" t="str">
        <f>TEXT(product_performance_data[[#This Row],[Date_Sold]],"ddd")</f>
        <v>Fri</v>
      </c>
    </row>
    <row r="33" spans="1:10" x14ac:dyDescent="0.3">
      <c r="A33" t="s">
        <v>899</v>
      </c>
      <c r="B33" t="s">
        <v>900</v>
      </c>
      <c r="C33" t="s">
        <v>37</v>
      </c>
      <c r="D33">
        <v>825</v>
      </c>
      <c r="E33">
        <v>398.17</v>
      </c>
      <c r="F33" s="1">
        <v>45223</v>
      </c>
      <c r="G33" s="2">
        <v>328490.25</v>
      </c>
      <c r="H33">
        <f>MONTH(product_performance_data[[#This Row],[Date_Sold]])</f>
        <v>10</v>
      </c>
      <c r="I33">
        <f>YEAR(product_performance_data[[#This Row],[Date_Sold]])</f>
        <v>2023</v>
      </c>
      <c r="J33" t="str">
        <f>TEXT(product_performance_data[[#This Row],[Date_Sold]],"ddd")</f>
        <v>Tue</v>
      </c>
    </row>
    <row r="34" spans="1:10" x14ac:dyDescent="0.3">
      <c r="A34" t="s">
        <v>345</v>
      </c>
      <c r="B34" t="s">
        <v>153</v>
      </c>
      <c r="C34" t="s">
        <v>9</v>
      </c>
      <c r="D34">
        <v>881</v>
      </c>
      <c r="E34">
        <v>369.83</v>
      </c>
      <c r="F34" s="1">
        <v>45528</v>
      </c>
      <c r="G34" s="2">
        <v>325820.23</v>
      </c>
      <c r="H34">
        <f>MONTH(product_performance_data[[#This Row],[Date_Sold]])</f>
        <v>8</v>
      </c>
      <c r="I34">
        <f>YEAR(product_performance_data[[#This Row],[Date_Sold]])</f>
        <v>2024</v>
      </c>
      <c r="J34" t="str">
        <f>TEXT(product_performance_data[[#This Row],[Date_Sold]],"ddd")</f>
        <v>Sat</v>
      </c>
    </row>
    <row r="35" spans="1:10" x14ac:dyDescent="0.3">
      <c r="A35" t="s">
        <v>256</v>
      </c>
      <c r="B35" t="s">
        <v>257</v>
      </c>
      <c r="C35" t="s">
        <v>30</v>
      </c>
      <c r="D35">
        <v>931</v>
      </c>
      <c r="E35">
        <v>347.98</v>
      </c>
      <c r="F35" s="1">
        <v>45510</v>
      </c>
      <c r="G35" s="2">
        <v>323969.38</v>
      </c>
      <c r="H35">
        <f>MONTH(product_performance_data[[#This Row],[Date_Sold]])</f>
        <v>8</v>
      </c>
      <c r="I35">
        <f>YEAR(product_performance_data[[#This Row],[Date_Sold]])</f>
        <v>2024</v>
      </c>
      <c r="J35" t="str">
        <f>TEXT(product_performance_data[[#This Row],[Date_Sold]],"ddd")</f>
        <v>Tue</v>
      </c>
    </row>
    <row r="36" spans="1:10" x14ac:dyDescent="0.3">
      <c r="A36" t="s">
        <v>631</v>
      </c>
      <c r="B36" t="s">
        <v>632</v>
      </c>
      <c r="C36" t="s">
        <v>30</v>
      </c>
      <c r="D36">
        <v>916</v>
      </c>
      <c r="E36">
        <v>350.33</v>
      </c>
      <c r="F36" s="1">
        <v>45955</v>
      </c>
      <c r="G36" s="2">
        <v>320902.27999999997</v>
      </c>
      <c r="H36">
        <f>MONTH(product_performance_data[[#This Row],[Date_Sold]])</f>
        <v>10</v>
      </c>
      <c r="I36">
        <f>YEAR(product_performance_data[[#This Row],[Date_Sold]])</f>
        <v>2025</v>
      </c>
      <c r="J36" t="str">
        <f>TEXT(product_performance_data[[#This Row],[Date_Sold]],"ddd")</f>
        <v>Sat</v>
      </c>
    </row>
    <row r="37" spans="1:10" x14ac:dyDescent="0.3">
      <c r="A37" t="s">
        <v>948</v>
      </c>
      <c r="B37" t="s">
        <v>949</v>
      </c>
      <c r="C37" t="s">
        <v>30</v>
      </c>
      <c r="D37">
        <v>709</v>
      </c>
      <c r="E37">
        <v>450.34</v>
      </c>
      <c r="F37" s="1">
        <v>44979</v>
      </c>
      <c r="G37" s="2">
        <v>319291.06</v>
      </c>
      <c r="H37">
        <f>MONTH(product_performance_data[[#This Row],[Date_Sold]])</f>
        <v>2</v>
      </c>
      <c r="I37">
        <f>YEAR(product_performance_data[[#This Row],[Date_Sold]])</f>
        <v>2023</v>
      </c>
      <c r="J37" t="str">
        <f>TEXT(product_performance_data[[#This Row],[Date_Sold]],"ddd")</f>
        <v>Wed</v>
      </c>
    </row>
    <row r="38" spans="1:10" x14ac:dyDescent="0.3">
      <c r="A38" t="s">
        <v>773</v>
      </c>
      <c r="B38" t="s">
        <v>774</v>
      </c>
      <c r="C38" t="s">
        <v>37</v>
      </c>
      <c r="D38">
        <v>977</v>
      </c>
      <c r="E38">
        <v>326.17</v>
      </c>
      <c r="F38" s="1">
        <v>45784</v>
      </c>
      <c r="G38" s="2">
        <v>318668.09000000003</v>
      </c>
      <c r="H38">
        <f>MONTH(product_performance_data[[#This Row],[Date_Sold]])</f>
        <v>5</v>
      </c>
      <c r="I38">
        <f>YEAR(product_performance_data[[#This Row],[Date_Sold]])</f>
        <v>2025</v>
      </c>
      <c r="J38" t="str">
        <f>TEXT(product_performance_data[[#This Row],[Date_Sold]],"ddd")</f>
        <v>Wed</v>
      </c>
    </row>
    <row r="39" spans="1:10" x14ac:dyDescent="0.3">
      <c r="A39" t="s">
        <v>176</v>
      </c>
      <c r="B39" t="s">
        <v>177</v>
      </c>
      <c r="C39" t="s">
        <v>12</v>
      </c>
      <c r="D39">
        <v>785</v>
      </c>
      <c r="E39">
        <v>404.42</v>
      </c>
      <c r="F39" s="1">
        <v>45021</v>
      </c>
      <c r="G39" s="2">
        <v>317469.7</v>
      </c>
      <c r="H39">
        <f>MONTH(product_performance_data[[#This Row],[Date_Sold]])</f>
        <v>4</v>
      </c>
      <c r="I39">
        <f>YEAR(product_performance_data[[#This Row],[Date_Sold]])</f>
        <v>2023</v>
      </c>
      <c r="J39" t="str">
        <f>TEXT(product_performance_data[[#This Row],[Date_Sold]],"ddd")</f>
        <v>Wed</v>
      </c>
    </row>
    <row r="40" spans="1:10" x14ac:dyDescent="0.3">
      <c r="A40" t="s">
        <v>86</v>
      </c>
      <c r="B40" t="s">
        <v>87</v>
      </c>
      <c r="C40" t="s">
        <v>63</v>
      </c>
      <c r="D40">
        <v>757</v>
      </c>
      <c r="E40" s="2">
        <v>414.8</v>
      </c>
      <c r="F40" s="1">
        <v>45687</v>
      </c>
      <c r="G40" s="2">
        <v>314003.60000000003</v>
      </c>
      <c r="H40">
        <f>MONTH(product_performance_data[[#This Row],[Date_Sold]])</f>
        <v>1</v>
      </c>
      <c r="I40">
        <f>YEAR(product_performance_data[[#This Row],[Date_Sold]])</f>
        <v>2025</v>
      </c>
      <c r="J40" t="str">
        <f>TEXT(product_performance_data[[#This Row],[Date_Sold]],"ddd")</f>
        <v>Thu</v>
      </c>
    </row>
    <row r="41" spans="1:10" x14ac:dyDescent="0.3">
      <c r="A41" t="s">
        <v>354</v>
      </c>
      <c r="B41" t="s">
        <v>355</v>
      </c>
      <c r="C41" t="s">
        <v>23</v>
      </c>
      <c r="D41">
        <v>748</v>
      </c>
      <c r="E41">
        <v>419.3</v>
      </c>
      <c r="F41" s="1">
        <v>45259</v>
      </c>
      <c r="G41" s="2">
        <v>313636.40000000002</v>
      </c>
      <c r="H41">
        <f>MONTH(product_performance_data[[#This Row],[Date_Sold]])</f>
        <v>11</v>
      </c>
      <c r="I41">
        <f>YEAR(product_performance_data[[#This Row],[Date_Sold]])</f>
        <v>2023</v>
      </c>
      <c r="J41" t="str">
        <f>TEXT(product_performance_data[[#This Row],[Date_Sold]],"ddd")</f>
        <v>Wed</v>
      </c>
    </row>
    <row r="42" spans="1:10" x14ac:dyDescent="0.3">
      <c r="A42" t="s">
        <v>208</v>
      </c>
      <c r="B42" t="s">
        <v>209</v>
      </c>
      <c r="C42" t="s">
        <v>63</v>
      </c>
      <c r="D42">
        <v>712</v>
      </c>
      <c r="E42">
        <v>434.26</v>
      </c>
      <c r="F42" s="1">
        <v>45622</v>
      </c>
      <c r="G42" s="2">
        <v>309193.12</v>
      </c>
      <c r="H42">
        <f>MONTH(product_performance_data[[#This Row],[Date_Sold]])</f>
        <v>11</v>
      </c>
      <c r="I42">
        <f>YEAR(product_performance_data[[#This Row],[Date_Sold]])</f>
        <v>2024</v>
      </c>
      <c r="J42" t="str">
        <f>TEXT(product_performance_data[[#This Row],[Date_Sold]],"ddd")</f>
        <v>Tue</v>
      </c>
    </row>
    <row r="43" spans="1:10" x14ac:dyDescent="0.3">
      <c r="A43" t="s">
        <v>21</v>
      </c>
      <c r="B43" t="s">
        <v>22</v>
      </c>
      <c r="C43" t="s">
        <v>23</v>
      </c>
      <c r="D43">
        <v>710</v>
      </c>
      <c r="E43" s="2">
        <v>425.09</v>
      </c>
      <c r="F43" s="1">
        <v>45178</v>
      </c>
      <c r="G43" s="2">
        <v>301813.89999999997</v>
      </c>
      <c r="H43">
        <f>MONTH(product_performance_data[[#This Row],[Date_Sold]])</f>
        <v>9</v>
      </c>
      <c r="I43">
        <f>YEAR(product_performance_data[[#This Row],[Date_Sold]])</f>
        <v>2023</v>
      </c>
      <c r="J43" t="str">
        <f>TEXT(product_performance_data[[#This Row],[Date_Sold]],"ddd")</f>
        <v>Sat</v>
      </c>
    </row>
    <row r="44" spans="1:10" x14ac:dyDescent="0.3">
      <c r="A44" t="s">
        <v>212</v>
      </c>
      <c r="B44" t="s">
        <v>213</v>
      </c>
      <c r="C44" t="s">
        <v>12</v>
      </c>
      <c r="D44">
        <v>739</v>
      </c>
      <c r="E44">
        <v>401.47</v>
      </c>
      <c r="F44" s="1">
        <v>45884</v>
      </c>
      <c r="G44" s="2">
        <v>296686.33</v>
      </c>
      <c r="H44">
        <f>MONTH(product_performance_data[[#This Row],[Date_Sold]])</f>
        <v>8</v>
      </c>
      <c r="I44">
        <f>YEAR(product_performance_data[[#This Row],[Date_Sold]])</f>
        <v>2025</v>
      </c>
      <c r="J44" t="str">
        <f>TEXT(product_performance_data[[#This Row],[Date_Sold]],"ddd")</f>
        <v>Fri</v>
      </c>
    </row>
    <row r="45" spans="1:10" x14ac:dyDescent="0.3">
      <c r="A45" t="s">
        <v>693</v>
      </c>
      <c r="B45" t="s">
        <v>694</v>
      </c>
      <c r="C45" t="s">
        <v>37</v>
      </c>
      <c r="D45">
        <v>558</v>
      </c>
      <c r="E45">
        <v>447.64</v>
      </c>
      <c r="F45" s="1">
        <v>44970</v>
      </c>
      <c r="G45" s="2">
        <v>290966</v>
      </c>
      <c r="H45">
        <f>MONTH(product_performance_data[[#This Row],[Date_Sold]])</f>
        <v>2</v>
      </c>
      <c r="I45">
        <f>YEAR(product_performance_data[[#This Row],[Date_Sold]])</f>
        <v>2023</v>
      </c>
      <c r="J45" t="str">
        <f>TEXT(product_performance_data[[#This Row],[Date_Sold]],"ddd")</f>
        <v>Mon</v>
      </c>
    </row>
    <row r="46" spans="1:10" x14ac:dyDescent="0.3">
      <c r="A46" t="s">
        <v>956</v>
      </c>
      <c r="B46" t="s">
        <v>957</v>
      </c>
      <c r="C46" t="s">
        <v>9</v>
      </c>
      <c r="D46">
        <v>990</v>
      </c>
      <c r="E46">
        <v>290.86</v>
      </c>
      <c r="F46" s="1">
        <v>45240</v>
      </c>
      <c r="G46" s="2">
        <v>287951.40000000002</v>
      </c>
      <c r="H46">
        <f>MONTH(product_performance_data[[#This Row],[Date_Sold]])</f>
        <v>11</v>
      </c>
      <c r="I46">
        <f>YEAR(product_performance_data[[#This Row],[Date_Sold]])</f>
        <v>2023</v>
      </c>
      <c r="J46" t="str">
        <f>TEXT(product_performance_data[[#This Row],[Date_Sold]],"ddd")</f>
        <v>Fri</v>
      </c>
    </row>
    <row r="47" spans="1:10" x14ac:dyDescent="0.3">
      <c r="A47" t="s">
        <v>408</v>
      </c>
      <c r="B47" t="s">
        <v>409</v>
      </c>
      <c r="C47" t="s">
        <v>63</v>
      </c>
      <c r="D47">
        <v>743</v>
      </c>
      <c r="E47">
        <v>384.76</v>
      </c>
      <c r="F47" s="1">
        <v>45909</v>
      </c>
      <c r="G47" s="2">
        <v>285876.68</v>
      </c>
      <c r="H47">
        <f>MONTH(product_performance_data[[#This Row],[Date_Sold]])</f>
        <v>9</v>
      </c>
      <c r="I47">
        <f>YEAR(product_performance_data[[#This Row],[Date_Sold]])</f>
        <v>2025</v>
      </c>
      <c r="J47" t="str">
        <f>TEXT(product_performance_data[[#This Row],[Date_Sold]],"ddd")</f>
        <v>Tue</v>
      </c>
    </row>
    <row r="48" spans="1:10" x14ac:dyDescent="0.3">
      <c r="A48" t="s">
        <v>325</v>
      </c>
      <c r="B48" t="s">
        <v>326</v>
      </c>
      <c r="C48" t="s">
        <v>12</v>
      </c>
      <c r="D48">
        <v>939</v>
      </c>
      <c r="E48">
        <v>303.20999999999998</v>
      </c>
      <c r="F48" s="1">
        <v>45448</v>
      </c>
      <c r="G48" s="2">
        <v>284714.19</v>
      </c>
      <c r="H48">
        <f>MONTH(product_performance_data[[#This Row],[Date_Sold]])</f>
        <v>6</v>
      </c>
      <c r="I48">
        <f>YEAR(product_performance_data[[#This Row],[Date_Sold]])</f>
        <v>2024</v>
      </c>
      <c r="J48" t="str">
        <f>TEXT(product_performance_data[[#This Row],[Date_Sold]],"ddd")</f>
        <v>Wed</v>
      </c>
    </row>
    <row r="49" spans="1:10" x14ac:dyDescent="0.3">
      <c r="A49" t="s">
        <v>659</v>
      </c>
      <c r="B49" t="s">
        <v>660</v>
      </c>
      <c r="C49" t="s">
        <v>9</v>
      </c>
      <c r="D49">
        <v>964</v>
      </c>
      <c r="E49">
        <v>294.45999999999998</v>
      </c>
      <c r="F49" s="1">
        <v>44934</v>
      </c>
      <c r="G49" s="2">
        <v>283859.44</v>
      </c>
      <c r="H49">
        <f>MONTH(product_performance_data[[#This Row],[Date_Sold]])</f>
        <v>1</v>
      </c>
      <c r="I49">
        <f>YEAR(product_performance_data[[#This Row],[Date_Sold]])</f>
        <v>2023</v>
      </c>
      <c r="J49" t="str">
        <f>TEXT(product_performance_data[[#This Row],[Date_Sold]],"ddd")</f>
        <v>Sun</v>
      </c>
    </row>
    <row r="50" spans="1:10" x14ac:dyDescent="0.3">
      <c r="A50" t="s">
        <v>626</v>
      </c>
      <c r="B50" t="s">
        <v>627</v>
      </c>
      <c r="C50" t="s">
        <v>23</v>
      </c>
      <c r="D50">
        <v>619</v>
      </c>
      <c r="E50">
        <v>455.68</v>
      </c>
      <c r="F50" s="1">
        <v>45033</v>
      </c>
      <c r="G50" s="2">
        <v>282065.91999999998</v>
      </c>
      <c r="H50">
        <f>MONTH(product_performance_data[[#This Row],[Date_Sold]])</f>
        <v>4</v>
      </c>
      <c r="I50">
        <f>YEAR(product_performance_data[[#This Row],[Date_Sold]])</f>
        <v>2023</v>
      </c>
      <c r="J50" t="str">
        <f>TEXT(product_performance_data[[#This Row],[Date_Sold]],"ddd")</f>
        <v>Mon</v>
      </c>
    </row>
    <row r="51" spans="1:10" x14ac:dyDescent="0.3">
      <c r="A51" t="s">
        <v>90</v>
      </c>
      <c r="B51" t="s">
        <v>91</v>
      </c>
      <c r="C51" t="s">
        <v>9</v>
      </c>
      <c r="D51">
        <v>570</v>
      </c>
      <c r="E51" s="2">
        <v>482.8</v>
      </c>
      <c r="F51" s="1">
        <v>45532</v>
      </c>
      <c r="G51" s="2">
        <v>275196</v>
      </c>
      <c r="H51">
        <f>MONTH(product_performance_data[[#This Row],[Date_Sold]])</f>
        <v>8</v>
      </c>
      <c r="I51">
        <f>YEAR(product_performance_data[[#This Row],[Date_Sold]])</f>
        <v>2024</v>
      </c>
      <c r="J51" t="str">
        <f>TEXT(product_performance_data[[#This Row],[Date_Sold]],"ddd")</f>
        <v>Wed</v>
      </c>
    </row>
    <row r="52" spans="1:10" x14ac:dyDescent="0.3">
      <c r="A52" t="s">
        <v>592</v>
      </c>
      <c r="B52" t="s">
        <v>593</v>
      </c>
      <c r="C52" t="s">
        <v>37</v>
      </c>
      <c r="D52">
        <v>693</v>
      </c>
      <c r="E52" s="8">
        <v>396.95</v>
      </c>
      <c r="F52" s="1">
        <v>45789</v>
      </c>
      <c r="G52" s="2">
        <v>275086.34999999998</v>
      </c>
      <c r="H52">
        <f>MONTH(product_performance_data[[#This Row],[Date_Sold]])</f>
        <v>5</v>
      </c>
      <c r="I52">
        <f>YEAR(product_performance_data[[#This Row],[Date_Sold]])</f>
        <v>2025</v>
      </c>
      <c r="J52" t="str">
        <f>TEXT(product_performance_data[[#This Row],[Date_Sold]],"ddd")</f>
        <v>Mon</v>
      </c>
    </row>
    <row r="53" spans="1:10" x14ac:dyDescent="0.3">
      <c r="A53" t="s">
        <v>224</v>
      </c>
      <c r="B53" t="s">
        <v>225</v>
      </c>
      <c r="C53" t="s">
        <v>23</v>
      </c>
      <c r="D53">
        <v>872</v>
      </c>
      <c r="E53">
        <v>314.83999999999997</v>
      </c>
      <c r="F53" s="1">
        <v>45072</v>
      </c>
      <c r="G53" s="2">
        <v>274540.48</v>
      </c>
      <c r="H53">
        <f>MONTH(product_performance_data[[#This Row],[Date_Sold]])</f>
        <v>5</v>
      </c>
      <c r="I53">
        <f>YEAR(product_performance_data[[#This Row],[Date_Sold]])</f>
        <v>2023</v>
      </c>
      <c r="J53" t="str">
        <f>TEXT(product_performance_data[[#This Row],[Date_Sold]],"ddd")</f>
        <v>Fri</v>
      </c>
    </row>
    <row r="54" spans="1:10" x14ac:dyDescent="0.3">
      <c r="A54" t="s">
        <v>974</v>
      </c>
      <c r="B54" t="s">
        <v>975</v>
      </c>
      <c r="C54" t="s">
        <v>30</v>
      </c>
      <c r="D54">
        <v>744</v>
      </c>
      <c r="E54">
        <v>366.62</v>
      </c>
      <c r="F54" s="1">
        <v>45002</v>
      </c>
      <c r="G54" s="2">
        <v>272765.28000000003</v>
      </c>
      <c r="H54">
        <f>MONTH(product_performance_data[[#This Row],[Date_Sold]])</f>
        <v>3</v>
      </c>
      <c r="I54">
        <f>YEAR(product_performance_data[[#This Row],[Date_Sold]])</f>
        <v>2023</v>
      </c>
      <c r="J54" t="str">
        <f>TEXT(product_performance_data[[#This Row],[Date_Sold]],"ddd")</f>
        <v>Fri</v>
      </c>
    </row>
    <row r="55" spans="1:10" x14ac:dyDescent="0.3">
      <c r="A55" t="s">
        <v>356</v>
      </c>
      <c r="B55" t="s">
        <v>357</v>
      </c>
      <c r="C55" t="s">
        <v>23</v>
      </c>
      <c r="D55">
        <v>622</v>
      </c>
      <c r="E55">
        <v>434.1</v>
      </c>
      <c r="F55" s="1">
        <v>45777</v>
      </c>
      <c r="G55" s="2">
        <v>270010.2</v>
      </c>
      <c r="H55">
        <f>MONTH(product_performance_data[[#This Row],[Date_Sold]])</f>
        <v>4</v>
      </c>
      <c r="I55">
        <f>YEAR(product_performance_data[[#This Row],[Date_Sold]])</f>
        <v>2025</v>
      </c>
      <c r="J55" t="str">
        <f>TEXT(product_performance_data[[#This Row],[Date_Sold]],"ddd")</f>
        <v>Wed</v>
      </c>
    </row>
    <row r="56" spans="1:10" x14ac:dyDescent="0.3">
      <c r="A56" t="s">
        <v>439</v>
      </c>
      <c r="B56" t="s">
        <v>440</v>
      </c>
      <c r="C56" t="s">
        <v>12</v>
      </c>
      <c r="D56">
        <v>587</v>
      </c>
      <c r="E56">
        <v>459.96</v>
      </c>
      <c r="F56" s="1">
        <v>45006</v>
      </c>
      <c r="G56" s="2">
        <v>269996.51999999996</v>
      </c>
      <c r="H56">
        <f>MONTH(product_performance_data[[#This Row],[Date_Sold]])</f>
        <v>3</v>
      </c>
      <c r="I56">
        <f>YEAR(product_performance_data[[#This Row],[Date_Sold]])</f>
        <v>2023</v>
      </c>
      <c r="J56" t="str">
        <f>TEXT(product_performance_data[[#This Row],[Date_Sold]],"ddd")</f>
        <v>Tue</v>
      </c>
    </row>
    <row r="57" spans="1:10" x14ac:dyDescent="0.3">
      <c r="A57" t="s">
        <v>350</v>
      </c>
      <c r="B57" t="s">
        <v>351</v>
      </c>
      <c r="C57" t="s">
        <v>23</v>
      </c>
      <c r="D57">
        <v>556</v>
      </c>
      <c r="E57">
        <v>484.48</v>
      </c>
      <c r="F57" s="1">
        <v>45308</v>
      </c>
      <c r="G57" s="2">
        <v>269370.88</v>
      </c>
      <c r="H57">
        <f>MONTH(product_performance_data[[#This Row],[Date_Sold]])</f>
        <v>1</v>
      </c>
      <c r="I57">
        <f>YEAR(product_performance_data[[#This Row],[Date_Sold]])</f>
        <v>2024</v>
      </c>
      <c r="J57" t="str">
        <f>TEXT(product_performance_data[[#This Row],[Date_Sold]],"ddd")</f>
        <v>Wed</v>
      </c>
    </row>
    <row r="58" spans="1:10" x14ac:dyDescent="0.3">
      <c r="A58" t="s">
        <v>724</v>
      </c>
      <c r="B58" t="s">
        <v>71</v>
      </c>
      <c r="C58" t="s">
        <v>37</v>
      </c>
      <c r="D58">
        <v>581</v>
      </c>
      <c r="E58">
        <v>462.4</v>
      </c>
      <c r="F58" s="1">
        <v>45542</v>
      </c>
      <c r="G58" s="2">
        <v>268654.39999999997</v>
      </c>
      <c r="H58">
        <f>MONTH(product_performance_data[[#This Row],[Date_Sold]])</f>
        <v>9</v>
      </c>
      <c r="I58">
        <f>YEAR(product_performance_data[[#This Row],[Date_Sold]])</f>
        <v>2024</v>
      </c>
      <c r="J58" t="str">
        <f>TEXT(product_performance_data[[#This Row],[Date_Sold]],"ddd")</f>
        <v>Sat</v>
      </c>
    </row>
    <row r="59" spans="1:10" x14ac:dyDescent="0.3">
      <c r="A59" t="s">
        <v>830</v>
      </c>
      <c r="B59" t="s">
        <v>831</v>
      </c>
      <c r="C59" t="s">
        <v>9</v>
      </c>
      <c r="D59">
        <v>925</v>
      </c>
      <c r="E59">
        <v>290.12</v>
      </c>
      <c r="F59" s="1">
        <v>45313</v>
      </c>
      <c r="G59" s="2">
        <v>268361</v>
      </c>
      <c r="H59">
        <f>MONTH(product_performance_data[[#This Row],[Date_Sold]])</f>
        <v>1</v>
      </c>
      <c r="I59">
        <f>YEAR(product_performance_data[[#This Row],[Date_Sold]])</f>
        <v>2024</v>
      </c>
      <c r="J59" t="str">
        <f>TEXT(product_performance_data[[#This Row],[Date_Sold]],"ddd")</f>
        <v>Mon</v>
      </c>
    </row>
    <row r="60" spans="1:10" x14ac:dyDescent="0.3">
      <c r="A60" t="s">
        <v>870</v>
      </c>
      <c r="B60" t="s">
        <v>591</v>
      </c>
      <c r="C60" t="s">
        <v>23</v>
      </c>
      <c r="D60">
        <v>572</v>
      </c>
      <c r="E60">
        <v>466.35</v>
      </c>
      <c r="F60" s="1">
        <v>45561</v>
      </c>
      <c r="G60" s="2">
        <v>266752.2</v>
      </c>
      <c r="H60">
        <f>MONTH(product_performance_data[[#This Row],[Date_Sold]])</f>
        <v>9</v>
      </c>
      <c r="I60">
        <f>YEAR(product_performance_data[[#This Row],[Date_Sold]])</f>
        <v>2024</v>
      </c>
      <c r="J60" t="str">
        <f>TEXT(product_performance_data[[#This Row],[Date_Sold]],"ddd")</f>
        <v>Thu</v>
      </c>
    </row>
    <row r="61" spans="1:10" x14ac:dyDescent="0.3">
      <c r="A61" t="s">
        <v>586</v>
      </c>
      <c r="B61" t="s">
        <v>587</v>
      </c>
      <c r="C61" t="s">
        <v>37</v>
      </c>
      <c r="D61">
        <v>647</v>
      </c>
      <c r="E61">
        <v>409.11</v>
      </c>
      <c r="F61" s="1">
        <v>45989</v>
      </c>
      <c r="G61" s="2">
        <v>264694.17</v>
      </c>
      <c r="H61">
        <f>MONTH(product_performance_data[[#This Row],[Date_Sold]])</f>
        <v>11</v>
      </c>
      <c r="I61">
        <f>YEAR(product_performance_data[[#This Row],[Date_Sold]])</f>
        <v>2025</v>
      </c>
      <c r="J61" t="str">
        <f>TEXT(product_performance_data[[#This Row],[Date_Sold]],"ddd")</f>
        <v>Fri</v>
      </c>
    </row>
    <row r="62" spans="1:10" x14ac:dyDescent="0.3">
      <c r="A62" t="s">
        <v>519</v>
      </c>
      <c r="B62" t="s">
        <v>520</v>
      </c>
      <c r="C62" t="s">
        <v>37</v>
      </c>
      <c r="D62">
        <v>558</v>
      </c>
      <c r="E62">
        <v>389.91</v>
      </c>
      <c r="F62" s="1">
        <v>45639</v>
      </c>
      <c r="G62" s="2">
        <v>262409.43</v>
      </c>
      <c r="H62">
        <f>MONTH(product_performance_data[[#This Row],[Date_Sold]])</f>
        <v>12</v>
      </c>
      <c r="I62">
        <f>YEAR(product_performance_data[[#This Row],[Date_Sold]])</f>
        <v>2024</v>
      </c>
      <c r="J62" t="str">
        <f>TEXT(product_performance_data[[#This Row],[Date_Sold]],"ddd")</f>
        <v>Fri</v>
      </c>
    </row>
    <row r="63" spans="1:10" x14ac:dyDescent="0.3">
      <c r="A63" t="s">
        <v>630</v>
      </c>
      <c r="B63" t="s">
        <v>11</v>
      </c>
      <c r="C63" t="s">
        <v>23</v>
      </c>
      <c r="D63">
        <v>991</v>
      </c>
      <c r="E63">
        <v>264.18</v>
      </c>
      <c r="F63" s="1">
        <v>45297</v>
      </c>
      <c r="G63" s="2">
        <v>261802.38</v>
      </c>
      <c r="H63">
        <f>MONTH(product_performance_data[[#This Row],[Date_Sold]])</f>
        <v>1</v>
      </c>
      <c r="I63">
        <f>YEAR(product_performance_data[[#This Row],[Date_Sold]])</f>
        <v>2024</v>
      </c>
      <c r="J63" t="str">
        <f>TEXT(product_performance_data[[#This Row],[Date_Sold]],"ddd")</f>
        <v>Sat</v>
      </c>
    </row>
    <row r="64" spans="1:10" x14ac:dyDescent="0.3">
      <c r="A64" t="s">
        <v>984</v>
      </c>
      <c r="B64" t="s">
        <v>985</v>
      </c>
      <c r="C64" t="s">
        <v>9</v>
      </c>
      <c r="D64">
        <v>695</v>
      </c>
      <c r="E64">
        <v>372.02</v>
      </c>
      <c r="F64" s="1">
        <v>45764</v>
      </c>
      <c r="G64" s="2">
        <v>258553.9</v>
      </c>
      <c r="H64">
        <f>MONTH(product_performance_data[[#This Row],[Date_Sold]])</f>
        <v>4</v>
      </c>
      <c r="I64">
        <f>YEAR(product_performance_data[[#This Row],[Date_Sold]])</f>
        <v>2025</v>
      </c>
      <c r="J64" t="str">
        <f>TEXT(product_performance_data[[#This Row],[Date_Sold]],"ddd")</f>
        <v>Thu</v>
      </c>
    </row>
    <row r="65" spans="1:10" x14ac:dyDescent="0.3">
      <c r="A65" t="s">
        <v>910</v>
      </c>
      <c r="B65" t="s">
        <v>911</v>
      </c>
      <c r="C65" t="s">
        <v>23</v>
      </c>
      <c r="D65">
        <v>521</v>
      </c>
      <c r="E65">
        <v>495.51</v>
      </c>
      <c r="F65" s="1">
        <v>45746</v>
      </c>
      <c r="G65" s="2">
        <v>258160.71</v>
      </c>
      <c r="H65">
        <f>MONTH(product_performance_data[[#This Row],[Date_Sold]])</f>
        <v>3</v>
      </c>
      <c r="I65">
        <f>YEAR(product_performance_data[[#This Row],[Date_Sold]])</f>
        <v>2025</v>
      </c>
      <c r="J65" t="str">
        <f>TEXT(product_performance_data[[#This Row],[Date_Sold]],"ddd")</f>
        <v>Sun</v>
      </c>
    </row>
    <row r="66" spans="1:10" x14ac:dyDescent="0.3">
      <c r="A66" t="s">
        <v>527</v>
      </c>
      <c r="B66" t="s">
        <v>528</v>
      </c>
      <c r="C66" t="s">
        <v>63</v>
      </c>
      <c r="D66">
        <v>681</v>
      </c>
      <c r="E66">
        <v>376.04</v>
      </c>
      <c r="F66" s="1">
        <v>45711</v>
      </c>
      <c r="G66" s="2">
        <v>256083.24000000002</v>
      </c>
      <c r="H66">
        <f>MONTH(product_performance_data[[#This Row],[Date_Sold]])</f>
        <v>2</v>
      </c>
      <c r="I66">
        <f>YEAR(product_performance_data[[#This Row],[Date_Sold]])</f>
        <v>2025</v>
      </c>
      <c r="J66" t="str">
        <f>TEXT(product_performance_data[[#This Row],[Date_Sold]],"ddd")</f>
        <v>Sun</v>
      </c>
    </row>
    <row r="67" spans="1:10" x14ac:dyDescent="0.3">
      <c r="A67" t="s">
        <v>897</v>
      </c>
      <c r="B67" t="s">
        <v>898</v>
      </c>
      <c r="C67" t="s">
        <v>9</v>
      </c>
      <c r="D67">
        <v>838</v>
      </c>
      <c r="E67">
        <v>305.02</v>
      </c>
      <c r="F67" s="1">
        <v>45122</v>
      </c>
      <c r="G67" s="2">
        <v>255606.75999999998</v>
      </c>
      <c r="H67">
        <f>MONTH(product_performance_data[[#This Row],[Date_Sold]])</f>
        <v>7</v>
      </c>
      <c r="I67">
        <f>YEAR(product_performance_data[[#This Row],[Date_Sold]])</f>
        <v>2023</v>
      </c>
      <c r="J67" t="str">
        <f>TEXT(product_performance_data[[#This Row],[Date_Sold]],"ddd")</f>
        <v>Sat</v>
      </c>
    </row>
    <row r="68" spans="1:10" x14ac:dyDescent="0.3">
      <c r="A68" t="s">
        <v>188</v>
      </c>
      <c r="B68" t="s">
        <v>189</v>
      </c>
      <c r="C68" t="s">
        <v>63</v>
      </c>
      <c r="D68">
        <v>571</v>
      </c>
      <c r="E68">
        <v>443.91</v>
      </c>
      <c r="F68" s="1">
        <v>45246</v>
      </c>
      <c r="G68" s="2">
        <v>253472.61000000002</v>
      </c>
      <c r="H68">
        <f>MONTH(product_performance_data[[#This Row],[Date_Sold]])</f>
        <v>11</v>
      </c>
      <c r="I68">
        <f>YEAR(product_performance_data[[#This Row],[Date_Sold]])</f>
        <v>2023</v>
      </c>
      <c r="J68" t="str">
        <f>TEXT(product_performance_data[[#This Row],[Date_Sold]],"ddd")</f>
        <v>Thu</v>
      </c>
    </row>
    <row r="69" spans="1:10" x14ac:dyDescent="0.3">
      <c r="A69" t="s">
        <v>392</v>
      </c>
      <c r="B69" t="s">
        <v>393</v>
      </c>
      <c r="C69" t="s">
        <v>30</v>
      </c>
      <c r="D69">
        <v>700</v>
      </c>
      <c r="E69">
        <v>354.02</v>
      </c>
      <c r="F69" s="1">
        <v>45750</v>
      </c>
      <c r="G69" s="2">
        <v>247814</v>
      </c>
      <c r="H69">
        <f>MONTH(product_performance_data[[#This Row],[Date_Sold]])</f>
        <v>4</v>
      </c>
      <c r="I69">
        <f>YEAR(product_performance_data[[#This Row],[Date_Sold]])</f>
        <v>2025</v>
      </c>
      <c r="J69" t="str">
        <f>TEXT(product_performance_data[[#This Row],[Date_Sold]],"ddd")</f>
        <v>Thu</v>
      </c>
    </row>
    <row r="70" spans="1:10" x14ac:dyDescent="0.3">
      <c r="A70" t="s">
        <v>570</v>
      </c>
      <c r="B70" t="s">
        <v>571</v>
      </c>
      <c r="C70" t="s">
        <v>23</v>
      </c>
      <c r="D70">
        <v>651</v>
      </c>
      <c r="E70">
        <v>379.71</v>
      </c>
      <c r="F70" s="1">
        <v>45658</v>
      </c>
      <c r="G70" s="2">
        <v>247191.21</v>
      </c>
      <c r="H70">
        <f>MONTH(product_performance_data[[#This Row],[Date_Sold]])</f>
        <v>1</v>
      </c>
      <c r="I70">
        <f>YEAR(product_performance_data[[#This Row],[Date_Sold]])</f>
        <v>2025</v>
      </c>
      <c r="J70" t="str">
        <f>TEXT(product_performance_data[[#This Row],[Date_Sold]],"ddd")</f>
        <v>Wed</v>
      </c>
    </row>
    <row r="71" spans="1:10" x14ac:dyDescent="0.3">
      <c r="A71" t="s">
        <v>265</v>
      </c>
      <c r="B71" t="s">
        <v>266</v>
      </c>
      <c r="C71" t="s">
        <v>23</v>
      </c>
      <c r="D71" s="8">
        <v>502</v>
      </c>
      <c r="E71">
        <v>483.95</v>
      </c>
      <c r="F71" s="1">
        <v>45314</v>
      </c>
      <c r="G71" s="2">
        <v>242942.9</v>
      </c>
      <c r="H71">
        <f>MONTH(product_performance_data[[#This Row],[Date_Sold]])</f>
        <v>1</v>
      </c>
      <c r="I71">
        <f>YEAR(product_performance_data[[#This Row],[Date_Sold]])</f>
        <v>2024</v>
      </c>
      <c r="J71" t="str">
        <f>TEXT(product_performance_data[[#This Row],[Date_Sold]],"ddd")</f>
        <v>Tue</v>
      </c>
    </row>
    <row r="72" spans="1:10" x14ac:dyDescent="0.3">
      <c r="A72" t="s">
        <v>729</v>
      </c>
      <c r="B72" t="s">
        <v>730</v>
      </c>
      <c r="C72" t="s">
        <v>12</v>
      </c>
      <c r="D72">
        <v>906</v>
      </c>
      <c r="E72">
        <v>267.98</v>
      </c>
      <c r="F72" s="1">
        <v>45154</v>
      </c>
      <c r="G72" s="2">
        <v>242789.88</v>
      </c>
      <c r="H72">
        <f>MONTH(product_performance_data[[#This Row],[Date_Sold]])</f>
        <v>8</v>
      </c>
      <c r="I72">
        <f>YEAR(product_performance_data[[#This Row],[Date_Sold]])</f>
        <v>2023</v>
      </c>
      <c r="J72" t="str">
        <f>TEXT(product_performance_data[[#This Row],[Date_Sold]],"ddd")</f>
        <v>Wed</v>
      </c>
    </row>
    <row r="73" spans="1:10" x14ac:dyDescent="0.3">
      <c r="A73" t="s">
        <v>331</v>
      </c>
      <c r="B73" t="s">
        <v>332</v>
      </c>
      <c r="C73" t="s">
        <v>12</v>
      </c>
      <c r="D73">
        <v>512</v>
      </c>
      <c r="E73">
        <v>473.37</v>
      </c>
      <c r="F73" s="1">
        <v>45546</v>
      </c>
      <c r="G73" s="2">
        <v>242365.44</v>
      </c>
      <c r="H73">
        <f>MONTH(product_performance_data[[#This Row],[Date_Sold]])</f>
        <v>9</v>
      </c>
      <c r="I73">
        <f>YEAR(product_performance_data[[#This Row],[Date_Sold]])</f>
        <v>2024</v>
      </c>
      <c r="J73" t="str">
        <f>TEXT(product_performance_data[[#This Row],[Date_Sold]],"ddd")</f>
        <v>Wed</v>
      </c>
    </row>
    <row r="74" spans="1:10" x14ac:dyDescent="0.3">
      <c r="A74" t="s">
        <v>781</v>
      </c>
      <c r="B74" t="s">
        <v>782</v>
      </c>
      <c r="C74" t="s">
        <v>63</v>
      </c>
      <c r="D74">
        <v>861</v>
      </c>
      <c r="E74">
        <v>281.08</v>
      </c>
      <c r="F74" s="1">
        <v>45656</v>
      </c>
      <c r="G74" s="2">
        <v>242009.87999999998</v>
      </c>
      <c r="H74">
        <f>MONTH(product_performance_data[[#This Row],[Date_Sold]])</f>
        <v>12</v>
      </c>
      <c r="I74">
        <f>YEAR(product_performance_data[[#This Row],[Date_Sold]])</f>
        <v>2024</v>
      </c>
      <c r="J74" t="str">
        <f>TEXT(product_performance_data[[#This Row],[Date_Sold]],"ddd")</f>
        <v>Mon</v>
      </c>
    </row>
    <row r="75" spans="1:10" x14ac:dyDescent="0.3">
      <c r="A75" t="s">
        <v>202</v>
      </c>
      <c r="B75" t="s">
        <v>203</v>
      </c>
      <c r="C75" t="s">
        <v>37</v>
      </c>
      <c r="D75">
        <v>781</v>
      </c>
      <c r="E75">
        <v>309.85000000000002</v>
      </c>
      <c r="F75" s="1">
        <v>45315</v>
      </c>
      <c r="G75" s="2">
        <v>241992.85</v>
      </c>
      <c r="H75">
        <f>MONTH(product_performance_data[[#This Row],[Date_Sold]])</f>
        <v>1</v>
      </c>
      <c r="I75">
        <f>YEAR(product_performance_data[[#This Row],[Date_Sold]])</f>
        <v>2024</v>
      </c>
      <c r="J75" t="str">
        <f>TEXT(product_performance_data[[#This Row],[Date_Sold]],"ddd")</f>
        <v>Wed</v>
      </c>
    </row>
    <row r="76" spans="1:10" x14ac:dyDescent="0.3">
      <c r="A76" t="s">
        <v>862</v>
      </c>
      <c r="B76" t="s">
        <v>863</v>
      </c>
      <c r="C76" t="s">
        <v>37</v>
      </c>
      <c r="D76">
        <v>679</v>
      </c>
      <c r="E76">
        <v>355.08</v>
      </c>
      <c r="F76" s="1">
        <v>45375</v>
      </c>
      <c r="G76" s="2">
        <v>241099.31999999998</v>
      </c>
      <c r="H76">
        <f>MONTH(product_performance_data[[#This Row],[Date_Sold]])</f>
        <v>3</v>
      </c>
      <c r="I76">
        <f>YEAR(product_performance_data[[#This Row],[Date_Sold]])</f>
        <v>2024</v>
      </c>
      <c r="J76" t="str">
        <f>TEXT(product_performance_data[[#This Row],[Date_Sold]],"ddd")</f>
        <v>Sun</v>
      </c>
    </row>
    <row r="77" spans="1:10" x14ac:dyDescent="0.3">
      <c r="A77" t="s">
        <v>244</v>
      </c>
      <c r="B77" t="s">
        <v>245</v>
      </c>
      <c r="C77" t="s">
        <v>12</v>
      </c>
      <c r="D77">
        <v>729</v>
      </c>
      <c r="E77">
        <v>329.58</v>
      </c>
      <c r="F77" s="1">
        <v>45214</v>
      </c>
      <c r="G77" s="2">
        <v>240263.81999999998</v>
      </c>
      <c r="H77">
        <f>MONTH(product_performance_data[[#This Row],[Date_Sold]])</f>
        <v>10</v>
      </c>
      <c r="I77">
        <f>YEAR(product_performance_data[[#This Row],[Date_Sold]])</f>
        <v>2023</v>
      </c>
      <c r="J77" t="str">
        <f>TEXT(product_performance_data[[#This Row],[Date_Sold]],"ddd")</f>
        <v>Sun</v>
      </c>
    </row>
    <row r="78" spans="1:10" x14ac:dyDescent="0.3">
      <c r="A78" t="s">
        <v>521</v>
      </c>
      <c r="B78" t="s">
        <v>522</v>
      </c>
      <c r="C78" t="s">
        <v>63</v>
      </c>
      <c r="D78">
        <v>984</v>
      </c>
      <c r="E78">
        <v>242.78</v>
      </c>
      <c r="F78" s="1">
        <v>45789</v>
      </c>
      <c r="G78" s="2">
        <v>238895.52</v>
      </c>
      <c r="H78">
        <f>MONTH(product_performance_data[[#This Row],[Date_Sold]])</f>
        <v>5</v>
      </c>
      <c r="I78">
        <f>YEAR(product_performance_data[[#This Row],[Date_Sold]])</f>
        <v>2025</v>
      </c>
      <c r="J78" t="str">
        <f>TEXT(product_performance_data[[#This Row],[Date_Sold]],"ddd")</f>
        <v>Mon</v>
      </c>
    </row>
    <row r="79" spans="1:10" x14ac:dyDescent="0.3">
      <c r="A79" t="s">
        <v>273</v>
      </c>
      <c r="B79" t="s">
        <v>85</v>
      </c>
      <c r="C79" t="s">
        <v>30</v>
      </c>
      <c r="D79">
        <v>822</v>
      </c>
      <c r="E79">
        <v>290.08</v>
      </c>
      <c r="F79" s="1">
        <v>45729</v>
      </c>
      <c r="G79" s="2">
        <v>238445.75999999998</v>
      </c>
      <c r="H79">
        <f>MONTH(product_performance_data[[#This Row],[Date_Sold]])</f>
        <v>3</v>
      </c>
      <c r="I79">
        <f>YEAR(product_performance_data[[#This Row],[Date_Sold]])</f>
        <v>2025</v>
      </c>
      <c r="J79" t="str">
        <f>TEXT(product_performance_data[[#This Row],[Date_Sold]],"ddd")</f>
        <v>Thu</v>
      </c>
    </row>
    <row r="80" spans="1:10" x14ac:dyDescent="0.3">
      <c r="A80" t="s">
        <v>639</v>
      </c>
      <c r="B80" t="s">
        <v>640</v>
      </c>
      <c r="C80" t="s">
        <v>9</v>
      </c>
      <c r="D80">
        <v>618</v>
      </c>
      <c r="E80">
        <v>385.61</v>
      </c>
      <c r="F80" s="1">
        <v>45708</v>
      </c>
      <c r="G80" s="2">
        <v>238306.98</v>
      </c>
      <c r="H80">
        <f>MONTH(product_performance_data[[#This Row],[Date_Sold]])</f>
        <v>2</v>
      </c>
      <c r="I80">
        <f>YEAR(product_performance_data[[#This Row],[Date_Sold]])</f>
        <v>2025</v>
      </c>
      <c r="J80" t="str">
        <f>TEXT(product_performance_data[[#This Row],[Date_Sold]],"ddd")</f>
        <v>Thu</v>
      </c>
    </row>
    <row r="81" spans="1:10" x14ac:dyDescent="0.3">
      <c r="A81" t="s">
        <v>832</v>
      </c>
      <c r="B81" t="s">
        <v>833</v>
      </c>
      <c r="C81" t="s">
        <v>23</v>
      </c>
      <c r="D81">
        <v>513</v>
      </c>
      <c r="E81" s="12">
        <v>250.06</v>
      </c>
      <c r="F81" s="1">
        <v>45505</v>
      </c>
      <c r="G81" s="2">
        <v>235523.43</v>
      </c>
      <c r="H81">
        <f>MONTH(product_performance_data[[#This Row],[Date_Sold]])</f>
        <v>8</v>
      </c>
      <c r="I81">
        <f>YEAR(product_performance_data[[#This Row],[Date_Sold]])</f>
        <v>2024</v>
      </c>
      <c r="J81" t="str">
        <f>TEXT(product_performance_data[[#This Row],[Date_Sold]],"ddd")</f>
        <v>Thu</v>
      </c>
    </row>
    <row r="82" spans="1:10" x14ac:dyDescent="0.3">
      <c r="A82" t="s">
        <v>873</v>
      </c>
      <c r="B82" t="s">
        <v>874</v>
      </c>
      <c r="C82" t="s">
        <v>37</v>
      </c>
      <c r="D82">
        <v>785</v>
      </c>
      <c r="E82">
        <v>298.97000000000003</v>
      </c>
      <c r="F82" s="1">
        <v>44994</v>
      </c>
      <c r="G82" s="2">
        <v>234691.45</v>
      </c>
      <c r="H82">
        <f>MONTH(product_performance_data[[#This Row],[Date_Sold]])</f>
        <v>3</v>
      </c>
      <c r="I82">
        <f>YEAR(product_performance_data[[#This Row],[Date_Sold]])</f>
        <v>2023</v>
      </c>
      <c r="J82" t="str">
        <f>TEXT(product_performance_data[[#This Row],[Date_Sold]],"ddd")</f>
        <v>Thu</v>
      </c>
    </row>
    <row r="83" spans="1:10" x14ac:dyDescent="0.3">
      <c r="A83" t="s">
        <v>843</v>
      </c>
      <c r="B83" t="s">
        <v>844</v>
      </c>
      <c r="C83" t="s">
        <v>9</v>
      </c>
      <c r="D83">
        <v>649</v>
      </c>
      <c r="E83">
        <v>360.64</v>
      </c>
      <c r="F83" s="1">
        <v>45600</v>
      </c>
      <c r="G83" s="2">
        <v>234055.36</v>
      </c>
      <c r="H83">
        <f>MONTH(product_performance_data[[#This Row],[Date_Sold]])</f>
        <v>11</v>
      </c>
      <c r="I83">
        <f>YEAR(product_performance_data[[#This Row],[Date_Sold]])</f>
        <v>2024</v>
      </c>
      <c r="J83" t="str">
        <f>TEXT(product_performance_data[[#This Row],[Date_Sold]],"ddd")</f>
        <v>Mon</v>
      </c>
    </row>
    <row r="84" spans="1:10" x14ac:dyDescent="0.3">
      <c r="A84" t="s">
        <v>622</v>
      </c>
      <c r="B84" t="s">
        <v>623</v>
      </c>
      <c r="C84" t="s">
        <v>30</v>
      </c>
      <c r="D84">
        <v>846</v>
      </c>
      <c r="E84">
        <v>275.99</v>
      </c>
      <c r="F84" s="1">
        <v>45504</v>
      </c>
      <c r="G84" s="2">
        <v>233487.54</v>
      </c>
      <c r="H84">
        <f>MONTH(product_performance_data[[#This Row],[Date_Sold]])</f>
        <v>7</v>
      </c>
      <c r="I84">
        <f>YEAR(product_performance_data[[#This Row],[Date_Sold]])</f>
        <v>2024</v>
      </c>
      <c r="J84" t="str">
        <f>TEXT(product_performance_data[[#This Row],[Date_Sold]],"ddd")</f>
        <v>Wed</v>
      </c>
    </row>
    <row r="85" spans="1:10" x14ac:dyDescent="0.3">
      <c r="A85" t="s">
        <v>703</v>
      </c>
      <c r="B85" t="s">
        <v>704</v>
      </c>
      <c r="C85" t="s">
        <v>23</v>
      </c>
      <c r="D85">
        <v>955</v>
      </c>
      <c r="E85">
        <v>243.17</v>
      </c>
      <c r="F85" s="1">
        <v>45661</v>
      </c>
      <c r="G85" s="2">
        <v>232227.34999999998</v>
      </c>
      <c r="H85">
        <f>MONTH(product_performance_data[[#This Row],[Date_Sold]])</f>
        <v>1</v>
      </c>
      <c r="I85">
        <f>YEAR(product_performance_data[[#This Row],[Date_Sold]])</f>
        <v>2025</v>
      </c>
      <c r="J85" t="str">
        <f>TEXT(product_performance_data[[#This Row],[Date_Sold]],"ddd")</f>
        <v>Sat</v>
      </c>
    </row>
    <row r="86" spans="1:10" x14ac:dyDescent="0.3">
      <c r="A86" t="s">
        <v>986</v>
      </c>
      <c r="B86" t="s">
        <v>819</v>
      </c>
      <c r="C86" t="s">
        <v>30</v>
      </c>
      <c r="D86">
        <v>801</v>
      </c>
      <c r="E86">
        <v>288.70999999999998</v>
      </c>
      <c r="F86" s="1">
        <v>45391</v>
      </c>
      <c r="G86" s="2">
        <v>231256.71</v>
      </c>
      <c r="H86">
        <f>MONTH(product_performance_data[[#This Row],[Date_Sold]])</f>
        <v>4</v>
      </c>
      <c r="I86">
        <f>YEAR(product_performance_data[[#This Row],[Date_Sold]])</f>
        <v>2024</v>
      </c>
      <c r="J86" t="str">
        <f>TEXT(product_performance_data[[#This Row],[Date_Sold]],"ddd")</f>
        <v>Tue</v>
      </c>
    </row>
    <row r="87" spans="1:10" x14ac:dyDescent="0.3">
      <c r="A87" t="s">
        <v>513</v>
      </c>
      <c r="B87" t="s">
        <v>514</v>
      </c>
      <c r="C87" t="s">
        <v>37</v>
      </c>
      <c r="D87">
        <v>828</v>
      </c>
      <c r="E87">
        <v>278.04000000000002</v>
      </c>
      <c r="F87" s="1">
        <v>45839</v>
      </c>
      <c r="G87" s="2">
        <v>230217.12000000002</v>
      </c>
      <c r="H87">
        <f>MONTH(product_performance_data[[#This Row],[Date_Sold]])</f>
        <v>7</v>
      </c>
      <c r="I87">
        <f>YEAR(product_performance_data[[#This Row],[Date_Sold]])</f>
        <v>2025</v>
      </c>
      <c r="J87" t="str">
        <f>TEXT(product_performance_data[[#This Row],[Date_Sold]],"ddd")</f>
        <v>Tue</v>
      </c>
    </row>
    <row r="88" spans="1:10" x14ac:dyDescent="0.3">
      <c r="A88" t="s">
        <v>206</v>
      </c>
      <c r="B88" t="s">
        <v>207</v>
      </c>
      <c r="C88" t="s">
        <v>9</v>
      </c>
      <c r="D88">
        <v>486</v>
      </c>
      <c r="E88">
        <v>472.4</v>
      </c>
      <c r="F88" s="1">
        <v>45031</v>
      </c>
      <c r="G88" s="2">
        <v>229586.4</v>
      </c>
      <c r="H88">
        <f>MONTH(product_performance_data[[#This Row],[Date_Sold]])</f>
        <v>4</v>
      </c>
      <c r="I88">
        <f>YEAR(product_performance_data[[#This Row],[Date_Sold]])</f>
        <v>2023</v>
      </c>
      <c r="J88" t="str">
        <f>TEXT(product_performance_data[[#This Row],[Date_Sold]],"ddd")</f>
        <v>Sat</v>
      </c>
    </row>
    <row r="89" spans="1:10" x14ac:dyDescent="0.3">
      <c r="A89" t="s">
        <v>493</v>
      </c>
      <c r="B89" t="s">
        <v>494</v>
      </c>
      <c r="C89" t="s">
        <v>9</v>
      </c>
      <c r="D89">
        <v>754</v>
      </c>
      <c r="E89">
        <v>303.38</v>
      </c>
      <c r="F89" s="1">
        <v>45177</v>
      </c>
      <c r="G89" s="2">
        <v>228748.52</v>
      </c>
      <c r="H89">
        <f>MONTH(product_performance_data[[#This Row],[Date_Sold]])</f>
        <v>9</v>
      </c>
      <c r="I89">
        <f>YEAR(product_performance_data[[#This Row],[Date_Sold]])</f>
        <v>2023</v>
      </c>
      <c r="J89" t="str">
        <f>TEXT(product_performance_data[[#This Row],[Date_Sold]],"ddd")</f>
        <v>Fri</v>
      </c>
    </row>
    <row r="90" spans="1:10" x14ac:dyDescent="0.3">
      <c r="A90" t="s">
        <v>130</v>
      </c>
      <c r="B90" t="s">
        <v>131</v>
      </c>
      <c r="C90" t="s">
        <v>60</v>
      </c>
      <c r="D90">
        <v>494</v>
      </c>
      <c r="E90">
        <v>458.03</v>
      </c>
      <c r="F90" s="1">
        <v>44951</v>
      </c>
      <c r="G90" s="2">
        <v>226266.81999999998</v>
      </c>
      <c r="H90">
        <f>MONTH(product_performance_data[[#This Row],[Date_Sold]])</f>
        <v>1</v>
      </c>
      <c r="I90">
        <f>YEAR(product_performance_data[[#This Row],[Date_Sold]])</f>
        <v>2023</v>
      </c>
      <c r="J90" t="str">
        <f>TEXT(product_performance_data[[#This Row],[Date_Sold]],"ddd")</f>
        <v>Wed</v>
      </c>
    </row>
    <row r="91" spans="1:10" x14ac:dyDescent="0.3">
      <c r="A91" t="s">
        <v>154</v>
      </c>
      <c r="B91" t="s">
        <v>155</v>
      </c>
      <c r="C91" t="s">
        <v>37</v>
      </c>
      <c r="D91">
        <v>558</v>
      </c>
      <c r="E91">
        <v>285.19</v>
      </c>
      <c r="F91" s="1">
        <v>45998</v>
      </c>
      <c r="G91" s="2">
        <v>224159.34</v>
      </c>
      <c r="H91">
        <f>MONTH(product_performance_data[[#This Row],[Date_Sold]])</f>
        <v>12</v>
      </c>
      <c r="I91">
        <f>YEAR(product_performance_data[[#This Row],[Date_Sold]])</f>
        <v>2025</v>
      </c>
      <c r="J91" t="str">
        <f>TEXT(product_performance_data[[#This Row],[Date_Sold]],"ddd")</f>
        <v>Sun</v>
      </c>
    </row>
    <row r="92" spans="1:10" x14ac:dyDescent="0.3">
      <c r="A92" t="s">
        <v>903</v>
      </c>
      <c r="B92" t="s">
        <v>904</v>
      </c>
      <c r="C92" t="s">
        <v>23</v>
      </c>
      <c r="D92">
        <v>525</v>
      </c>
      <c r="E92">
        <v>426.11</v>
      </c>
      <c r="F92" s="1">
        <v>44977</v>
      </c>
      <c r="G92" s="2">
        <v>223707.75</v>
      </c>
      <c r="H92">
        <f>MONTH(product_performance_data[[#This Row],[Date_Sold]])</f>
        <v>2</v>
      </c>
      <c r="I92">
        <f>YEAR(product_performance_data[[#This Row],[Date_Sold]])</f>
        <v>2023</v>
      </c>
      <c r="J92" t="str">
        <f>TEXT(product_performance_data[[#This Row],[Date_Sold]],"ddd")</f>
        <v>Mon</v>
      </c>
    </row>
    <row r="93" spans="1:10" x14ac:dyDescent="0.3">
      <c r="A93" t="s">
        <v>26</v>
      </c>
      <c r="B93" t="s">
        <v>27</v>
      </c>
      <c r="C93" t="s">
        <v>23</v>
      </c>
      <c r="D93">
        <v>624</v>
      </c>
      <c r="E93" s="2">
        <v>355.91</v>
      </c>
      <c r="F93" s="1">
        <v>45544</v>
      </c>
      <c r="G93" s="2">
        <v>222087.84000000003</v>
      </c>
      <c r="H93">
        <f>MONTH(product_performance_data[[#This Row],[Date_Sold]])</f>
        <v>9</v>
      </c>
      <c r="I93">
        <f>YEAR(product_performance_data[[#This Row],[Date_Sold]])</f>
        <v>2024</v>
      </c>
      <c r="J93" t="str">
        <f>TEXT(product_performance_data[[#This Row],[Date_Sold]],"ddd")</f>
        <v>Mon</v>
      </c>
    </row>
    <row r="94" spans="1:10" x14ac:dyDescent="0.3">
      <c r="A94" t="s">
        <v>485</v>
      </c>
      <c r="B94" t="s">
        <v>486</v>
      </c>
      <c r="C94" t="s">
        <v>37</v>
      </c>
      <c r="D94">
        <v>558</v>
      </c>
      <c r="E94">
        <v>243.48</v>
      </c>
      <c r="F94" s="1">
        <v>45602</v>
      </c>
      <c r="G94" s="2">
        <v>221781.44999999998</v>
      </c>
      <c r="H94">
        <f>MONTH(product_performance_data[[#This Row],[Date_Sold]])</f>
        <v>11</v>
      </c>
      <c r="I94">
        <f>YEAR(product_performance_data[[#This Row],[Date_Sold]])</f>
        <v>2024</v>
      </c>
      <c r="J94" t="str">
        <f>TEXT(product_performance_data[[#This Row],[Date_Sold]],"ddd")</f>
        <v>Wed</v>
      </c>
    </row>
    <row r="95" spans="1:10" x14ac:dyDescent="0.3">
      <c r="A95" t="s">
        <v>982</v>
      </c>
      <c r="B95" t="s">
        <v>983</v>
      </c>
      <c r="C95" t="s">
        <v>9</v>
      </c>
      <c r="D95">
        <v>881</v>
      </c>
      <c r="E95">
        <v>250.23</v>
      </c>
      <c r="F95" s="1">
        <v>44958</v>
      </c>
      <c r="G95" s="2">
        <v>220452.63</v>
      </c>
      <c r="H95">
        <f>MONTH(product_performance_data[[#This Row],[Date_Sold]])</f>
        <v>2</v>
      </c>
      <c r="I95">
        <f>YEAR(product_performance_data[[#This Row],[Date_Sold]])</f>
        <v>2023</v>
      </c>
      <c r="J95" t="str">
        <f>TEXT(product_performance_data[[#This Row],[Date_Sold]],"ddd")</f>
        <v>Wed</v>
      </c>
    </row>
    <row r="96" spans="1:10" x14ac:dyDescent="0.3">
      <c r="A96" t="s">
        <v>454</v>
      </c>
      <c r="B96" t="s">
        <v>455</v>
      </c>
      <c r="C96" t="s">
        <v>12</v>
      </c>
      <c r="D96">
        <v>629</v>
      </c>
      <c r="E96">
        <v>349.98</v>
      </c>
      <c r="F96" s="1">
        <v>45709</v>
      </c>
      <c r="G96" s="2">
        <v>220137.42</v>
      </c>
      <c r="H96">
        <f>MONTH(product_performance_data[[#This Row],[Date_Sold]])</f>
        <v>2</v>
      </c>
      <c r="I96">
        <f>YEAR(product_performance_data[[#This Row],[Date_Sold]])</f>
        <v>2025</v>
      </c>
      <c r="J96" t="str">
        <f>TEXT(product_performance_data[[#This Row],[Date_Sold]],"ddd")</f>
        <v>Fri</v>
      </c>
    </row>
    <row r="97" spans="1:10" x14ac:dyDescent="0.3">
      <c r="A97" t="s">
        <v>594</v>
      </c>
      <c r="B97" t="s">
        <v>595</v>
      </c>
      <c r="C97" t="s">
        <v>63</v>
      </c>
      <c r="D97">
        <v>739</v>
      </c>
      <c r="E97">
        <v>297.02999999999997</v>
      </c>
      <c r="F97" s="1">
        <v>45984</v>
      </c>
      <c r="G97" s="2">
        <v>219505.16999999998</v>
      </c>
      <c r="H97">
        <f>MONTH(product_performance_data[[#This Row],[Date_Sold]])</f>
        <v>11</v>
      </c>
      <c r="I97">
        <f>YEAR(product_performance_data[[#This Row],[Date_Sold]])</f>
        <v>2025</v>
      </c>
      <c r="J97" t="str">
        <f>TEXT(product_performance_data[[#This Row],[Date_Sold]],"ddd")</f>
        <v>Sun</v>
      </c>
    </row>
    <row r="98" spans="1:10" x14ac:dyDescent="0.3">
      <c r="A98" t="s">
        <v>388</v>
      </c>
      <c r="B98" t="s">
        <v>389</v>
      </c>
      <c r="C98" t="s">
        <v>12</v>
      </c>
      <c r="D98">
        <v>901</v>
      </c>
      <c r="E98">
        <v>243.43</v>
      </c>
      <c r="F98" s="1">
        <v>45294</v>
      </c>
      <c r="G98" s="2">
        <v>219330.43</v>
      </c>
      <c r="H98">
        <f>MONTH(product_performance_data[[#This Row],[Date_Sold]])</f>
        <v>1</v>
      </c>
      <c r="I98">
        <f>YEAR(product_performance_data[[#This Row],[Date_Sold]])</f>
        <v>2024</v>
      </c>
      <c r="J98" t="str">
        <f>TEXT(product_performance_data[[#This Row],[Date_Sold]],"ddd")</f>
        <v>Wed</v>
      </c>
    </row>
    <row r="99" spans="1:10" x14ac:dyDescent="0.3">
      <c r="A99" t="s">
        <v>797</v>
      </c>
      <c r="B99" t="s">
        <v>798</v>
      </c>
      <c r="C99" t="s">
        <v>23</v>
      </c>
      <c r="D99">
        <v>870</v>
      </c>
      <c r="E99">
        <v>251.63</v>
      </c>
      <c r="F99" s="1">
        <v>45219</v>
      </c>
      <c r="G99" s="2">
        <v>218918.1</v>
      </c>
      <c r="H99">
        <f>MONTH(product_performance_data[[#This Row],[Date_Sold]])</f>
        <v>10</v>
      </c>
      <c r="I99">
        <f>YEAR(product_performance_data[[#This Row],[Date_Sold]])</f>
        <v>2023</v>
      </c>
      <c r="J99" t="str">
        <f>TEXT(product_performance_data[[#This Row],[Date_Sold]],"ddd")</f>
        <v>Fri</v>
      </c>
    </row>
    <row r="100" spans="1:10" x14ac:dyDescent="0.3">
      <c r="A100" t="s">
        <v>501</v>
      </c>
      <c r="B100" t="s">
        <v>502</v>
      </c>
      <c r="C100" t="s">
        <v>63</v>
      </c>
      <c r="D100">
        <v>465</v>
      </c>
      <c r="E100">
        <v>470.56</v>
      </c>
      <c r="F100" s="1">
        <v>45559</v>
      </c>
      <c r="G100" s="2">
        <v>218810.4</v>
      </c>
      <c r="H100">
        <f>MONTH(product_performance_data[[#This Row],[Date_Sold]])</f>
        <v>9</v>
      </c>
      <c r="I100">
        <f>YEAR(product_performance_data[[#This Row],[Date_Sold]])</f>
        <v>2024</v>
      </c>
      <c r="J100" t="str">
        <f>TEXT(product_performance_data[[#This Row],[Date_Sold]],"ddd")</f>
        <v>Tue</v>
      </c>
    </row>
    <row r="101" spans="1:10" x14ac:dyDescent="0.3">
      <c r="A101" t="s">
        <v>677</v>
      </c>
      <c r="B101" t="s">
        <v>177</v>
      </c>
      <c r="C101" t="s">
        <v>23</v>
      </c>
      <c r="D101">
        <v>720</v>
      </c>
      <c r="E101">
        <v>302.95999999999998</v>
      </c>
      <c r="F101" s="1">
        <v>45833</v>
      </c>
      <c r="G101" s="2">
        <v>218131.19999999998</v>
      </c>
      <c r="H101">
        <f>MONTH(product_performance_data[[#This Row],[Date_Sold]])</f>
        <v>6</v>
      </c>
      <c r="I101">
        <f>YEAR(product_performance_data[[#This Row],[Date_Sold]])</f>
        <v>2025</v>
      </c>
      <c r="J101" t="str">
        <f>TEXT(product_performance_data[[#This Row],[Date_Sold]],"ddd")</f>
        <v>Wed</v>
      </c>
    </row>
    <row r="102" spans="1:10" x14ac:dyDescent="0.3">
      <c r="A102" t="s">
        <v>791</v>
      </c>
      <c r="B102" t="s">
        <v>792</v>
      </c>
      <c r="C102" t="s">
        <v>23</v>
      </c>
      <c r="D102">
        <v>482</v>
      </c>
      <c r="E102">
        <v>450.33</v>
      </c>
      <c r="F102" s="1">
        <v>45301</v>
      </c>
      <c r="G102" s="2">
        <v>217059.06</v>
      </c>
      <c r="H102">
        <f>MONTH(product_performance_data[[#This Row],[Date_Sold]])</f>
        <v>1</v>
      </c>
      <c r="I102">
        <f>YEAR(product_performance_data[[#This Row],[Date_Sold]])</f>
        <v>2024</v>
      </c>
      <c r="J102" t="str">
        <f>TEXT(product_performance_data[[#This Row],[Date_Sold]],"ddd")</f>
        <v>Wed</v>
      </c>
    </row>
    <row r="103" spans="1:10" x14ac:dyDescent="0.3">
      <c r="A103" t="s">
        <v>616</v>
      </c>
      <c r="B103" t="s">
        <v>617</v>
      </c>
      <c r="C103" t="s">
        <v>23</v>
      </c>
      <c r="D103">
        <v>776</v>
      </c>
      <c r="E103">
        <v>279.63</v>
      </c>
      <c r="F103" s="1">
        <v>45237</v>
      </c>
      <c r="G103" s="2">
        <v>216992.88</v>
      </c>
      <c r="H103">
        <f>MONTH(product_performance_data[[#This Row],[Date_Sold]])</f>
        <v>11</v>
      </c>
      <c r="I103">
        <f>YEAR(product_performance_data[[#This Row],[Date_Sold]])</f>
        <v>2023</v>
      </c>
      <c r="J103" t="str">
        <f>TEXT(product_performance_data[[#This Row],[Date_Sold]],"ddd")</f>
        <v>Tue</v>
      </c>
    </row>
    <row r="104" spans="1:10" x14ac:dyDescent="0.3">
      <c r="A104" t="s">
        <v>116</v>
      </c>
      <c r="B104" t="s">
        <v>117</v>
      </c>
      <c r="C104" t="s">
        <v>9</v>
      </c>
      <c r="D104">
        <v>572</v>
      </c>
      <c r="E104" s="12">
        <v>257.77</v>
      </c>
      <c r="F104" s="1">
        <v>45553</v>
      </c>
      <c r="G104" s="2">
        <v>213527.6</v>
      </c>
      <c r="H104">
        <f>MONTH(product_performance_data[[#This Row],[Date_Sold]])</f>
        <v>9</v>
      </c>
      <c r="I104">
        <f>YEAR(product_performance_data[[#This Row],[Date_Sold]])</f>
        <v>2024</v>
      </c>
      <c r="J104" t="str">
        <f>TEXT(product_performance_data[[#This Row],[Date_Sold]],"ddd")</f>
        <v>Wed</v>
      </c>
    </row>
    <row r="105" spans="1:10" x14ac:dyDescent="0.3">
      <c r="A105" t="s">
        <v>885</v>
      </c>
      <c r="B105" t="s">
        <v>886</v>
      </c>
      <c r="C105" t="s">
        <v>9</v>
      </c>
      <c r="D105" s="12">
        <v>495</v>
      </c>
      <c r="E105">
        <v>343.86</v>
      </c>
      <c r="F105" s="1">
        <v>45399</v>
      </c>
      <c r="G105" s="2">
        <v>212505.48</v>
      </c>
      <c r="H105">
        <f>MONTH(product_performance_data[[#This Row],[Date_Sold]])</f>
        <v>4</v>
      </c>
      <c r="I105">
        <f>YEAR(product_performance_data[[#This Row],[Date_Sold]])</f>
        <v>2024</v>
      </c>
      <c r="J105" t="str">
        <f>TEXT(product_performance_data[[#This Row],[Date_Sold]],"ddd")</f>
        <v>Wed</v>
      </c>
    </row>
    <row r="106" spans="1:10" x14ac:dyDescent="0.3">
      <c r="A106" t="s">
        <v>114</v>
      </c>
      <c r="B106" t="s">
        <v>115</v>
      </c>
      <c r="C106" t="s">
        <v>37</v>
      </c>
      <c r="D106">
        <v>967</v>
      </c>
      <c r="E106" s="2">
        <v>219.59</v>
      </c>
      <c r="F106" s="1">
        <v>45594</v>
      </c>
      <c r="G106" s="2">
        <v>212343.53</v>
      </c>
      <c r="H106">
        <f>MONTH(product_performance_data[[#This Row],[Date_Sold]])</f>
        <v>10</v>
      </c>
      <c r="I106">
        <f>YEAR(product_performance_data[[#This Row],[Date_Sold]])</f>
        <v>2024</v>
      </c>
      <c r="J106" t="str">
        <f>TEXT(product_performance_data[[#This Row],[Date_Sold]],"ddd")</f>
        <v>Tue</v>
      </c>
    </row>
    <row r="107" spans="1:10" x14ac:dyDescent="0.3">
      <c r="A107" t="s">
        <v>310</v>
      </c>
      <c r="B107" t="s">
        <v>311</v>
      </c>
      <c r="C107" t="s">
        <v>23</v>
      </c>
      <c r="D107">
        <v>499</v>
      </c>
      <c r="E107">
        <v>424.34</v>
      </c>
      <c r="F107" s="1">
        <v>45972</v>
      </c>
      <c r="G107" s="2">
        <v>211745.65999999997</v>
      </c>
      <c r="H107">
        <f>MONTH(product_performance_data[[#This Row],[Date_Sold]])</f>
        <v>11</v>
      </c>
      <c r="I107">
        <f>YEAR(product_performance_data[[#This Row],[Date_Sold]])</f>
        <v>2025</v>
      </c>
      <c r="J107" t="str">
        <f>TEXT(product_performance_data[[#This Row],[Date_Sold]],"ddd")</f>
        <v>Tue</v>
      </c>
    </row>
    <row r="108" spans="1:10" x14ac:dyDescent="0.3">
      <c r="A108" t="s">
        <v>905</v>
      </c>
      <c r="B108" t="s">
        <v>906</v>
      </c>
      <c r="C108" t="s">
        <v>37</v>
      </c>
      <c r="D108">
        <v>556</v>
      </c>
      <c r="E108">
        <v>374.26</v>
      </c>
      <c r="F108" s="1">
        <v>45799</v>
      </c>
      <c r="G108" s="2">
        <v>208088.56</v>
      </c>
      <c r="H108">
        <f>MONTH(product_performance_data[[#This Row],[Date_Sold]])</f>
        <v>5</v>
      </c>
      <c r="I108">
        <f>YEAR(product_performance_data[[#This Row],[Date_Sold]])</f>
        <v>2025</v>
      </c>
      <c r="J108" t="str">
        <f>TEXT(product_performance_data[[#This Row],[Date_Sold]],"ddd")</f>
        <v>Thu</v>
      </c>
    </row>
    <row r="109" spans="1:10" x14ac:dyDescent="0.3">
      <c r="A109" t="s">
        <v>633</v>
      </c>
      <c r="B109" t="s">
        <v>634</v>
      </c>
      <c r="C109" t="s">
        <v>37</v>
      </c>
      <c r="D109">
        <v>520</v>
      </c>
      <c r="E109">
        <v>399.25</v>
      </c>
      <c r="F109" s="1">
        <v>44974</v>
      </c>
      <c r="G109" s="2">
        <v>207610</v>
      </c>
      <c r="H109">
        <f>MONTH(product_performance_data[[#This Row],[Date_Sold]])</f>
        <v>2</v>
      </c>
      <c r="I109">
        <f>YEAR(product_performance_data[[#This Row],[Date_Sold]])</f>
        <v>2023</v>
      </c>
      <c r="J109" t="str">
        <f>TEXT(product_performance_data[[#This Row],[Date_Sold]],"ddd")</f>
        <v>Fri</v>
      </c>
    </row>
    <row r="110" spans="1:10" x14ac:dyDescent="0.3">
      <c r="A110" t="s">
        <v>680</v>
      </c>
      <c r="B110" t="s">
        <v>681</v>
      </c>
      <c r="C110" t="s">
        <v>9</v>
      </c>
      <c r="D110">
        <v>498</v>
      </c>
      <c r="E110">
        <v>411.79</v>
      </c>
      <c r="F110" s="1">
        <v>45709</v>
      </c>
      <c r="G110" s="2">
        <v>205071.42</v>
      </c>
      <c r="H110">
        <f>MONTH(product_performance_data[[#This Row],[Date_Sold]])</f>
        <v>2</v>
      </c>
      <c r="I110">
        <f>YEAR(product_performance_data[[#This Row],[Date_Sold]])</f>
        <v>2025</v>
      </c>
      <c r="J110" t="str">
        <f>TEXT(product_performance_data[[#This Row],[Date_Sold]],"ddd")</f>
        <v>Fri</v>
      </c>
    </row>
    <row r="111" spans="1:10" x14ac:dyDescent="0.3">
      <c r="A111" t="s">
        <v>808</v>
      </c>
      <c r="B111" t="s">
        <v>809</v>
      </c>
      <c r="C111" t="s">
        <v>30</v>
      </c>
      <c r="D111">
        <v>831</v>
      </c>
      <c r="E111">
        <v>246.47</v>
      </c>
      <c r="F111" s="1">
        <v>45007</v>
      </c>
      <c r="G111" s="2">
        <v>204816.57</v>
      </c>
      <c r="H111">
        <f>MONTH(product_performance_data[[#This Row],[Date_Sold]])</f>
        <v>3</v>
      </c>
      <c r="I111">
        <f>YEAR(product_performance_data[[#This Row],[Date_Sold]])</f>
        <v>2023</v>
      </c>
      <c r="J111" t="str">
        <f>TEXT(product_performance_data[[#This Row],[Date_Sold]],"ddd")</f>
        <v>Wed</v>
      </c>
    </row>
    <row r="112" spans="1:10" x14ac:dyDescent="0.3">
      <c r="A112" t="s">
        <v>491</v>
      </c>
      <c r="B112" t="s">
        <v>492</v>
      </c>
      <c r="C112" t="s">
        <v>12</v>
      </c>
      <c r="D112">
        <v>982</v>
      </c>
      <c r="E112">
        <v>208.55</v>
      </c>
      <c r="F112" s="1">
        <v>45383</v>
      </c>
      <c r="G112" s="2">
        <v>204796.1</v>
      </c>
      <c r="H112">
        <f>MONTH(product_performance_data[[#This Row],[Date_Sold]])</f>
        <v>4</v>
      </c>
      <c r="I112">
        <f>YEAR(product_performance_data[[#This Row],[Date_Sold]])</f>
        <v>2024</v>
      </c>
      <c r="J112" t="str">
        <f>TEXT(product_performance_data[[#This Row],[Date_Sold]],"ddd")</f>
        <v>Mon</v>
      </c>
    </row>
    <row r="113" spans="1:10" x14ac:dyDescent="0.3">
      <c r="A113" t="s">
        <v>624</v>
      </c>
      <c r="B113" t="s">
        <v>625</v>
      </c>
      <c r="C113" t="s">
        <v>63</v>
      </c>
      <c r="D113">
        <v>893</v>
      </c>
      <c r="E113">
        <v>228.2</v>
      </c>
      <c r="F113" s="1">
        <v>45896</v>
      </c>
      <c r="G113" s="2">
        <v>203782.59999999998</v>
      </c>
      <c r="H113">
        <f>MONTH(product_performance_data[[#This Row],[Date_Sold]])</f>
        <v>8</v>
      </c>
      <c r="I113">
        <f>YEAR(product_performance_data[[#This Row],[Date_Sold]])</f>
        <v>2025</v>
      </c>
      <c r="J113" t="str">
        <f>TEXT(product_performance_data[[#This Row],[Date_Sold]],"ddd")</f>
        <v>Wed</v>
      </c>
    </row>
    <row r="114" spans="1:10" x14ac:dyDescent="0.3">
      <c r="A114" t="s">
        <v>410</v>
      </c>
      <c r="B114" t="s">
        <v>411</v>
      </c>
      <c r="C114" t="s">
        <v>23</v>
      </c>
      <c r="D114">
        <v>494</v>
      </c>
      <c r="E114">
        <v>412.28</v>
      </c>
      <c r="F114" s="1">
        <v>45543</v>
      </c>
      <c r="G114" s="2">
        <v>203666.31999999998</v>
      </c>
      <c r="H114">
        <f>MONTH(product_performance_data[[#This Row],[Date_Sold]])</f>
        <v>9</v>
      </c>
      <c r="I114">
        <f>YEAR(product_performance_data[[#This Row],[Date_Sold]])</f>
        <v>2024</v>
      </c>
      <c r="J114" t="str">
        <f>TEXT(product_performance_data[[#This Row],[Date_Sold]],"ddd")</f>
        <v>Sun</v>
      </c>
    </row>
    <row r="115" spans="1:10" x14ac:dyDescent="0.3">
      <c r="A115" t="s">
        <v>860</v>
      </c>
      <c r="B115" t="s">
        <v>861</v>
      </c>
      <c r="C115" t="s">
        <v>37</v>
      </c>
      <c r="D115">
        <v>759</v>
      </c>
      <c r="E115">
        <v>267.27</v>
      </c>
      <c r="F115" s="1">
        <v>45459</v>
      </c>
      <c r="G115" s="2">
        <v>202857.93</v>
      </c>
      <c r="H115">
        <f>MONTH(product_performance_data[[#This Row],[Date_Sold]])</f>
        <v>6</v>
      </c>
      <c r="I115">
        <f>YEAR(product_performance_data[[#This Row],[Date_Sold]])</f>
        <v>2024</v>
      </c>
      <c r="J115" t="str">
        <f>TEXT(product_performance_data[[#This Row],[Date_Sold]],"ddd")</f>
        <v>Sun</v>
      </c>
    </row>
    <row r="116" spans="1:10" x14ac:dyDescent="0.3">
      <c r="A116" t="s">
        <v>606</v>
      </c>
      <c r="B116" t="s">
        <v>607</v>
      </c>
      <c r="C116" t="s">
        <v>12</v>
      </c>
      <c r="D116">
        <v>448</v>
      </c>
      <c r="E116">
        <v>452.06</v>
      </c>
      <c r="F116" s="1">
        <v>45689</v>
      </c>
      <c r="G116" s="2">
        <v>202522.88</v>
      </c>
      <c r="H116">
        <f>MONTH(product_performance_data[[#This Row],[Date_Sold]])</f>
        <v>2</v>
      </c>
      <c r="I116">
        <f>YEAR(product_performance_data[[#This Row],[Date_Sold]])</f>
        <v>2025</v>
      </c>
      <c r="J116" t="str">
        <f>TEXT(product_performance_data[[#This Row],[Date_Sold]],"ddd")</f>
        <v>Sat</v>
      </c>
    </row>
    <row r="117" spans="1:10" x14ac:dyDescent="0.3">
      <c r="A117" t="s">
        <v>346</v>
      </c>
      <c r="B117" t="s">
        <v>347</v>
      </c>
      <c r="C117" t="s">
        <v>37</v>
      </c>
      <c r="D117">
        <v>735</v>
      </c>
      <c r="E117">
        <v>275.23</v>
      </c>
      <c r="F117" s="1">
        <v>45531</v>
      </c>
      <c r="G117" s="2">
        <v>202294.05000000002</v>
      </c>
      <c r="H117">
        <f>MONTH(product_performance_data[[#This Row],[Date_Sold]])</f>
        <v>8</v>
      </c>
      <c r="I117">
        <f>YEAR(product_performance_data[[#This Row],[Date_Sold]])</f>
        <v>2024</v>
      </c>
      <c r="J117" t="str">
        <f>TEXT(product_performance_data[[#This Row],[Date_Sold]],"ddd")</f>
        <v>Tue</v>
      </c>
    </row>
    <row r="118" spans="1:10" x14ac:dyDescent="0.3">
      <c r="A118" t="s">
        <v>146</v>
      </c>
      <c r="B118" t="s">
        <v>147</v>
      </c>
      <c r="C118" t="s">
        <v>30</v>
      </c>
      <c r="D118">
        <v>610</v>
      </c>
      <c r="E118">
        <v>330.27</v>
      </c>
      <c r="F118" s="1">
        <v>45752</v>
      </c>
      <c r="G118" s="2">
        <v>201464.69999999998</v>
      </c>
      <c r="H118">
        <f>MONTH(product_performance_data[[#This Row],[Date_Sold]])</f>
        <v>4</v>
      </c>
      <c r="I118">
        <f>YEAR(product_performance_data[[#This Row],[Date_Sold]])</f>
        <v>2025</v>
      </c>
      <c r="J118" t="str">
        <f>TEXT(product_performance_data[[#This Row],[Date_Sold]],"ddd")</f>
        <v>Sat</v>
      </c>
    </row>
    <row r="119" spans="1:10" x14ac:dyDescent="0.3">
      <c r="A119" t="s">
        <v>254</v>
      </c>
      <c r="B119" t="s">
        <v>255</v>
      </c>
      <c r="C119" t="s">
        <v>63</v>
      </c>
      <c r="D119">
        <v>801</v>
      </c>
      <c r="E119">
        <v>250.54</v>
      </c>
      <c r="F119" s="1">
        <v>45643</v>
      </c>
      <c r="G119" s="2">
        <v>200682.54</v>
      </c>
      <c r="H119">
        <f>MONTH(product_performance_data[[#This Row],[Date_Sold]])</f>
        <v>12</v>
      </c>
      <c r="I119">
        <f>YEAR(product_performance_data[[#This Row],[Date_Sold]])</f>
        <v>2024</v>
      </c>
      <c r="J119" t="str">
        <f>TEXT(product_performance_data[[#This Row],[Date_Sold]],"ddd")</f>
        <v>Tue</v>
      </c>
    </row>
    <row r="120" spans="1:10" x14ac:dyDescent="0.3">
      <c r="A120" t="s">
        <v>976</v>
      </c>
      <c r="B120" t="s">
        <v>977</v>
      </c>
      <c r="C120" t="s">
        <v>12</v>
      </c>
      <c r="D120">
        <v>575</v>
      </c>
      <c r="E120">
        <v>348.39</v>
      </c>
      <c r="F120" s="1">
        <v>45624</v>
      </c>
      <c r="G120" s="2">
        <v>200324.25</v>
      </c>
      <c r="H120">
        <f>MONTH(product_performance_data[[#This Row],[Date_Sold]])</f>
        <v>11</v>
      </c>
      <c r="I120">
        <f>YEAR(product_performance_data[[#This Row],[Date_Sold]])</f>
        <v>2024</v>
      </c>
      <c r="J120" t="str">
        <f>TEXT(product_performance_data[[#This Row],[Date_Sold]],"ddd")</f>
        <v>Thu</v>
      </c>
    </row>
    <row r="121" spans="1:10" x14ac:dyDescent="0.3">
      <c r="A121" t="s">
        <v>387</v>
      </c>
      <c r="B121" t="s">
        <v>203</v>
      </c>
      <c r="C121" t="s">
        <v>9</v>
      </c>
      <c r="D121">
        <v>563</v>
      </c>
      <c r="E121">
        <v>355.55</v>
      </c>
      <c r="F121" s="1">
        <v>45263</v>
      </c>
      <c r="G121" s="2">
        <v>200174.65</v>
      </c>
      <c r="H121">
        <f>MONTH(product_performance_data[[#This Row],[Date_Sold]])</f>
        <v>12</v>
      </c>
      <c r="I121">
        <f>YEAR(product_performance_data[[#This Row],[Date_Sold]])</f>
        <v>2023</v>
      </c>
      <c r="J121" t="str">
        <f>TEXT(product_performance_data[[#This Row],[Date_Sold]],"ddd")</f>
        <v>Sun</v>
      </c>
    </row>
    <row r="122" spans="1:10" x14ac:dyDescent="0.3">
      <c r="A122" t="s">
        <v>531</v>
      </c>
      <c r="B122" t="s">
        <v>532</v>
      </c>
      <c r="C122" t="s">
        <v>23</v>
      </c>
      <c r="D122">
        <v>481</v>
      </c>
      <c r="E122" s="12">
        <v>250.06</v>
      </c>
      <c r="F122" s="1">
        <v>45906</v>
      </c>
      <c r="G122" s="2">
        <v>199826.63999999998</v>
      </c>
      <c r="H122">
        <f>MONTH(product_performance_data[[#This Row],[Date_Sold]])</f>
        <v>9</v>
      </c>
      <c r="I122">
        <f>YEAR(product_performance_data[[#This Row],[Date_Sold]])</f>
        <v>2025</v>
      </c>
      <c r="J122" t="str">
        <f>TEXT(product_performance_data[[#This Row],[Date_Sold]],"ddd")</f>
        <v>Sat</v>
      </c>
    </row>
    <row r="123" spans="1:10" x14ac:dyDescent="0.3">
      <c r="A123" t="s">
        <v>545</v>
      </c>
      <c r="B123" t="s">
        <v>361</v>
      </c>
      <c r="C123" t="s">
        <v>37</v>
      </c>
      <c r="D123">
        <v>573</v>
      </c>
      <c r="E123">
        <v>347.4</v>
      </c>
      <c r="F123" s="1">
        <v>45232</v>
      </c>
      <c r="G123" s="2">
        <v>199060.19999999998</v>
      </c>
      <c r="H123">
        <f>MONTH(product_performance_data[[#This Row],[Date_Sold]])</f>
        <v>11</v>
      </c>
      <c r="I123">
        <f>YEAR(product_performance_data[[#This Row],[Date_Sold]])</f>
        <v>2023</v>
      </c>
      <c r="J123" t="str">
        <f>TEXT(product_performance_data[[#This Row],[Date_Sold]],"ddd")</f>
        <v>Thu</v>
      </c>
    </row>
    <row r="124" spans="1:10" x14ac:dyDescent="0.3">
      <c r="A124" t="s">
        <v>925</v>
      </c>
      <c r="B124" t="s">
        <v>926</v>
      </c>
      <c r="C124" t="s">
        <v>37</v>
      </c>
      <c r="D124">
        <v>527</v>
      </c>
      <c r="E124">
        <v>376.5</v>
      </c>
      <c r="F124" s="1">
        <v>45820</v>
      </c>
      <c r="G124" s="2">
        <v>198415.5</v>
      </c>
      <c r="H124">
        <f>MONTH(product_performance_data[[#This Row],[Date_Sold]])</f>
        <v>6</v>
      </c>
      <c r="I124">
        <f>YEAR(product_performance_data[[#This Row],[Date_Sold]])</f>
        <v>2025</v>
      </c>
      <c r="J124" t="str">
        <f>TEXT(product_performance_data[[#This Row],[Date_Sold]],"ddd")</f>
        <v>Thu</v>
      </c>
    </row>
    <row r="125" spans="1:10" x14ac:dyDescent="0.3">
      <c r="A125" t="s">
        <v>431</v>
      </c>
      <c r="B125" t="s">
        <v>432</v>
      </c>
      <c r="C125" t="s">
        <v>37</v>
      </c>
      <c r="D125">
        <v>708</v>
      </c>
      <c r="E125">
        <v>280.22000000000003</v>
      </c>
      <c r="F125" s="1">
        <v>45248</v>
      </c>
      <c r="G125" s="2">
        <v>198395.76</v>
      </c>
      <c r="H125">
        <f>MONTH(product_performance_data[[#This Row],[Date_Sold]])</f>
        <v>11</v>
      </c>
      <c r="I125">
        <f>YEAR(product_performance_data[[#This Row],[Date_Sold]])</f>
        <v>2023</v>
      </c>
      <c r="J125" t="str">
        <f>TEXT(product_performance_data[[#This Row],[Date_Sold]],"ddd")</f>
        <v>Sat</v>
      </c>
    </row>
    <row r="126" spans="1:10" x14ac:dyDescent="0.3">
      <c r="A126" t="s">
        <v>174</v>
      </c>
      <c r="B126" t="s">
        <v>175</v>
      </c>
      <c r="C126" t="s">
        <v>12</v>
      </c>
      <c r="D126">
        <v>518</v>
      </c>
      <c r="E126">
        <v>382.87</v>
      </c>
      <c r="F126" s="1">
        <v>45445</v>
      </c>
      <c r="G126" s="2">
        <v>198326.66</v>
      </c>
      <c r="H126">
        <f>MONTH(product_performance_data[[#This Row],[Date_Sold]])</f>
        <v>6</v>
      </c>
      <c r="I126">
        <f>YEAR(product_performance_data[[#This Row],[Date_Sold]])</f>
        <v>2024</v>
      </c>
      <c r="J126" t="str">
        <f>TEXT(product_performance_data[[#This Row],[Date_Sold]],"ddd")</f>
        <v>Sun</v>
      </c>
    </row>
    <row r="127" spans="1:10" x14ac:dyDescent="0.3">
      <c r="A127" t="s">
        <v>443</v>
      </c>
      <c r="B127" t="s">
        <v>444</v>
      </c>
      <c r="C127" t="s">
        <v>63</v>
      </c>
      <c r="D127">
        <v>566</v>
      </c>
      <c r="E127">
        <v>349.23</v>
      </c>
      <c r="F127" s="1">
        <v>44997</v>
      </c>
      <c r="G127" s="2">
        <v>197664.18000000002</v>
      </c>
      <c r="H127">
        <f>MONTH(product_performance_data[[#This Row],[Date_Sold]])</f>
        <v>3</v>
      </c>
      <c r="I127">
        <f>YEAR(product_performance_data[[#This Row],[Date_Sold]])</f>
        <v>2023</v>
      </c>
      <c r="J127" t="str">
        <f>TEXT(product_performance_data[[#This Row],[Date_Sold]],"ddd")</f>
        <v>Sun</v>
      </c>
    </row>
    <row r="128" spans="1:10" x14ac:dyDescent="0.3">
      <c r="A128" t="s">
        <v>960</v>
      </c>
      <c r="B128" t="s">
        <v>961</v>
      </c>
      <c r="C128" t="s">
        <v>63</v>
      </c>
      <c r="D128">
        <v>992</v>
      </c>
      <c r="E128">
        <v>198.78</v>
      </c>
      <c r="F128" s="1">
        <v>45409</v>
      </c>
      <c r="G128" s="2">
        <v>197189.76000000001</v>
      </c>
      <c r="H128">
        <f>MONTH(product_performance_data[[#This Row],[Date_Sold]])</f>
        <v>4</v>
      </c>
      <c r="I128">
        <f>YEAR(product_performance_data[[#This Row],[Date_Sold]])</f>
        <v>2024</v>
      </c>
      <c r="J128" t="str">
        <f>TEXT(product_performance_data[[#This Row],[Date_Sold]],"ddd")</f>
        <v>Sat</v>
      </c>
    </row>
    <row r="129" spans="1:10" x14ac:dyDescent="0.3">
      <c r="A129" t="s">
        <v>848</v>
      </c>
      <c r="B129" t="s">
        <v>849</v>
      </c>
      <c r="C129" t="s">
        <v>9</v>
      </c>
      <c r="D129">
        <v>469</v>
      </c>
      <c r="E129">
        <v>420.1</v>
      </c>
      <c r="F129" s="1">
        <v>45102</v>
      </c>
      <c r="G129" s="2">
        <v>197026.90000000002</v>
      </c>
      <c r="H129">
        <f>MONTH(product_performance_data[[#This Row],[Date_Sold]])</f>
        <v>6</v>
      </c>
      <c r="I129">
        <f>YEAR(product_performance_data[[#This Row],[Date_Sold]])</f>
        <v>2023</v>
      </c>
      <c r="J129" t="str">
        <f>TEXT(product_performance_data[[#This Row],[Date_Sold]],"ddd")</f>
        <v>Sun</v>
      </c>
    </row>
    <row r="130" spans="1:10" x14ac:dyDescent="0.3">
      <c r="A130" t="s">
        <v>835</v>
      </c>
      <c r="B130" t="s">
        <v>836</v>
      </c>
      <c r="C130" t="s">
        <v>37</v>
      </c>
      <c r="D130">
        <v>401</v>
      </c>
      <c r="E130">
        <v>487.66</v>
      </c>
      <c r="F130" s="1">
        <v>46009</v>
      </c>
      <c r="G130" s="2">
        <v>195551.66</v>
      </c>
      <c r="H130">
        <f>MONTH(product_performance_data[[#This Row],[Date_Sold]])</f>
        <v>12</v>
      </c>
      <c r="I130">
        <f>YEAR(product_performance_data[[#This Row],[Date_Sold]])</f>
        <v>2025</v>
      </c>
      <c r="J130" t="str">
        <f>TEXT(product_performance_data[[#This Row],[Date_Sold]],"ddd")</f>
        <v>Thu</v>
      </c>
    </row>
    <row r="131" spans="1:10" x14ac:dyDescent="0.3">
      <c r="A131" t="s">
        <v>548</v>
      </c>
      <c r="B131" t="s">
        <v>549</v>
      </c>
      <c r="C131" t="s">
        <v>23</v>
      </c>
      <c r="D131">
        <v>519</v>
      </c>
      <c r="E131">
        <v>376.21</v>
      </c>
      <c r="F131" s="1">
        <v>45615</v>
      </c>
      <c r="G131" s="2">
        <v>195252.99</v>
      </c>
      <c r="H131">
        <f>MONTH(product_performance_data[[#This Row],[Date_Sold]])</f>
        <v>11</v>
      </c>
      <c r="I131">
        <f>YEAR(product_performance_data[[#This Row],[Date_Sold]])</f>
        <v>2024</v>
      </c>
      <c r="J131" t="str">
        <f>TEXT(product_performance_data[[#This Row],[Date_Sold]],"ddd")</f>
        <v>Tue</v>
      </c>
    </row>
    <row r="132" spans="1:10" x14ac:dyDescent="0.3">
      <c r="A132" t="s">
        <v>505</v>
      </c>
      <c r="B132" t="s">
        <v>506</v>
      </c>
      <c r="C132" t="s">
        <v>12</v>
      </c>
      <c r="D132">
        <v>658</v>
      </c>
      <c r="E132">
        <v>292.68</v>
      </c>
      <c r="F132" s="1">
        <v>45695</v>
      </c>
      <c r="G132" s="2">
        <v>192583.44</v>
      </c>
      <c r="H132">
        <f>MONTH(product_performance_data[[#This Row],[Date_Sold]])</f>
        <v>2</v>
      </c>
      <c r="I132">
        <f>YEAR(product_performance_data[[#This Row],[Date_Sold]])</f>
        <v>2025</v>
      </c>
      <c r="J132" t="str">
        <f>TEXT(product_performance_data[[#This Row],[Date_Sold]],"ddd")</f>
        <v>Fri</v>
      </c>
    </row>
    <row r="133" spans="1:10" x14ac:dyDescent="0.3">
      <c r="A133" t="s">
        <v>214</v>
      </c>
      <c r="B133" t="s">
        <v>215</v>
      </c>
      <c r="C133" t="s">
        <v>12</v>
      </c>
      <c r="D133">
        <v>565</v>
      </c>
      <c r="E133">
        <v>340.2</v>
      </c>
      <c r="F133" s="1">
        <v>45576</v>
      </c>
      <c r="G133" s="2">
        <v>192213</v>
      </c>
      <c r="H133">
        <f>MONTH(product_performance_data[[#This Row],[Date_Sold]])</f>
        <v>10</v>
      </c>
      <c r="I133">
        <f>YEAR(product_performance_data[[#This Row],[Date_Sold]])</f>
        <v>2024</v>
      </c>
      <c r="J133" t="str">
        <f>TEXT(product_performance_data[[#This Row],[Date_Sold]],"ddd")</f>
        <v>Fri</v>
      </c>
    </row>
    <row r="134" spans="1:10" x14ac:dyDescent="0.3">
      <c r="A134" t="s">
        <v>661</v>
      </c>
      <c r="B134" t="s">
        <v>662</v>
      </c>
      <c r="C134" t="s">
        <v>12</v>
      </c>
      <c r="D134">
        <v>941</v>
      </c>
      <c r="E134">
        <v>203.15</v>
      </c>
      <c r="F134" s="1">
        <v>45354</v>
      </c>
      <c r="G134" s="2">
        <v>191164.15</v>
      </c>
      <c r="H134">
        <f>MONTH(product_performance_data[[#This Row],[Date_Sold]])</f>
        <v>3</v>
      </c>
      <c r="I134">
        <f>YEAR(product_performance_data[[#This Row],[Date_Sold]])</f>
        <v>2024</v>
      </c>
      <c r="J134" t="str">
        <f>TEXT(product_performance_data[[#This Row],[Date_Sold]],"ddd")</f>
        <v>Sun</v>
      </c>
    </row>
    <row r="135" spans="1:10" x14ac:dyDescent="0.3">
      <c r="A135" t="s">
        <v>578</v>
      </c>
      <c r="B135" t="s">
        <v>579</v>
      </c>
      <c r="C135" t="s">
        <v>37</v>
      </c>
      <c r="D135">
        <v>745</v>
      </c>
      <c r="E135">
        <v>251.59</v>
      </c>
      <c r="F135" s="1">
        <v>45413</v>
      </c>
      <c r="G135" s="2">
        <v>187434.55</v>
      </c>
      <c r="H135">
        <f>MONTH(product_performance_data[[#This Row],[Date_Sold]])</f>
        <v>5</v>
      </c>
      <c r="I135">
        <f>YEAR(product_performance_data[[#This Row],[Date_Sold]])</f>
        <v>2024</v>
      </c>
      <c r="J135" t="str">
        <f>TEXT(product_performance_data[[#This Row],[Date_Sold]],"ddd")</f>
        <v>Wed</v>
      </c>
    </row>
    <row r="136" spans="1:10" x14ac:dyDescent="0.3">
      <c r="A136" t="s">
        <v>132</v>
      </c>
      <c r="B136" t="s">
        <v>133</v>
      </c>
      <c r="C136" t="s">
        <v>23</v>
      </c>
      <c r="D136">
        <v>828</v>
      </c>
      <c r="E136">
        <v>223.96</v>
      </c>
      <c r="F136" s="1">
        <v>44963</v>
      </c>
      <c r="G136" s="2">
        <v>185438.88</v>
      </c>
      <c r="H136">
        <f>MONTH(product_performance_data[[#This Row],[Date_Sold]])</f>
        <v>2</v>
      </c>
      <c r="I136">
        <f>YEAR(product_performance_data[[#This Row],[Date_Sold]])</f>
        <v>2023</v>
      </c>
      <c r="J136" t="str">
        <f>TEXT(product_performance_data[[#This Row],[Date_Sold]],"ddd")</f>
        <v>Mon</v>
      </c>
    </row>
    <row r="137" spans="1:10" x14ac:dyDescent="0.3">
      <c r="A137" t="s">
        <v>763</v>
      </c>
      <c r="B137" t="s">
        <v>764</v>
      </c>
      <c r="C137" t="s">
        <v>37</v>
      </c>
      <c r="D137">
        <v>682</v>
      </c>
      <c r="E137">
        <v>269.99</v>
      </c>
      <c r="F137" s="1">
        <v>45678</v>
      </c>
      <c r="G137" s="2">
        <v>184133.18</v>
      </c>
      <c r="H137">
        <f>MONTH(product_performance_data[[#This Row],[Date_Sold]])</f>
        <v>1</v>
      </c>
      <c r="I137">
        <f>YEAR(product_performance_data[[#This Row],[Date_Sold]])</f>
        <v>2025</v>
      </c>
      <c r="J137" t="str">
        <f>TEXT(product_performance_data[[#This Row],[Date_Sold]],"ddd")</f>
        <v>Tue</v>
      </c>
    </row>
    <row r="138" spans="1:10" x14ac:dyDescent="0.3">
      <c r="A138" t="s">
        <v>124</v>
      </c>
      <c r="B138" t="s">
        <v>125</v>
      </c>
      <c r="C138" t="s">
        <v>37</v>
      </c>
      <c r="D138">
        <v>841</v>
      </c>
      <c r="E138">
        <v>217.02</v>
      </c>
      <c r="F138" s="1">
        <v>45962</v>
      </c>
      <c r="G138" s="2">
        <v>182513.82</v>
      </c>
      <c r="H138">
        <f>MONTH(product_performance_data[[#This Row],[Date_Sold]])</f>
        <v>11</v>
      </c>
      <c r="I138">
        <f>YEAR(product_performance_data[[#This Row],[Date_Sold]])</f>
        <v>2025</v>
      </c>
      <c r="J138" t="str">
        <f>TEXT(product_performance_data[[#This Row],[Date_Sold]],"ddd")</f>
        <v>Sat</v>
      </c>
    </row>
    <row r="139" spans="1:10" x14ac:dyDescent="0.3">
      <c r="A139" t="s">
        <v>655</v>
      </c>
      <c r="B139" t="s">
        <v>656</v>
      </c>
      <c r="C139" t="s">
        <v>63</v>
      </c>
      <c r="D139">
        <v>669</v>
      </c>
      <c r="E139">
        <v>270.95</v>
      </c>
      <c r="F139" s="1">
        <v>45321</v>
      </c>
      <c r="G139" s="2">
        <v>181265.55</v>
      </c>
      <c r="H139">
        <f>MONTH(product_performance_data[[#This Row],[Date_Sold]])</f>
        <v>1</v>
      </c>
      <c r="I139">
        <f>YEAR(product_performance_data[[#This Row],[Date_Sold]])</f>
        <v>2024</v>
      </c>
      <c r="J139" t="str">
        <f>TEXT(product_performance_data[[#This Row],[Date_Sold]],"ddd")</f>
        <v>Tue</v>
      </c>
    </row>
    <row r="140" spans="1:10" x14ac:dyDescent="0.3">
      <c r="A140" t="s">
        <v>657</v>
      </c>
      <c r="B140" t="s">
        <v>658</v>
      </c>
      <c r="C140" t="s">
        <v>12</v>
      </c>
      <c r="D140">
        <v>773</v>
      </c>
      <c r="E140">
        <v>232.76</v>
      </c>
      <c r="F140" s="1">
        <v>45601</v>
      </c>
      <c r="G140" s="2">
        <v>179923.47999999998</v>
      </c>
      <c r="H140">
        <f>MONTH(product_performance_data[[#This Row],[Date_Sold]])</f>
        <v>11</v>
      </c>
      <c r="I140">
        <f>YEAR(product_performance_data[[#This Row],[Date_Sold]])</f>
        <v>2024</v>
      </c>
      <c r="J140" t="str">
        <f>TEXT(product_performance_data[[#This Row],[Date_Sold]],"ddd")</f>
        <v>Tue</v>
      </c>
    </row>
    <row r="141" spans="1:10" x14ac:dyDescent="0.3">
      <c r="A141" t="s">
        <v>126</v>
      </c>
      <c r="B141" t="s">
        <v>127</v>
      </c>
      <c r="C141" t="s">
        <v>9</v>
      </c>
      <c r="D141">
        <v>514</v>
      </c>
      <c r="E141">
        <v>345.81</v>
      </c>
      <c r="F141" s="1">
        <v>45967</v>
      </c>
      <c r="G141" s="2">
        <v>177746.34</v>
      </c>
      <c r="H141">
        <f>MONTH(product_performance_data[[#This Row],[Date_Sold]])</f>
        <v>11</v>
      </c>
      <c r="I141">
        <f>YEAR(product_performance_data[[#This Row],[Date_Sold]])</f>
        <v>2025</v>
      </c>
      <c r="J141" t="str">
        <f>TEXT(product_performance_data[[#This Row],[Date_Sold]],"ddd")</f>
        <v>Thu</v>
      </c>
    </row>
    <row r="142" spans="1:10" x14ac:dyDescent="0.3">
      <c r="A142" t="s">
        <v>635</v>
      </c>
      <c r="B142" t="s">
        <v>636</v>
      </c>
      <c r="C142" t="s">
        <v>63</v>
      </c>
      <c r="D142">
        <v>761</v>
      </c>
      <c r="E142">
        <v>232.38</v>
      </c>
      <c r="F142" s="1">
        <v>44931</v>
      </c>
      <c r="G142" s="2">
        <v>176841.18</v>
      </c>
      <c r="H142">
        <f>MONTH(product_performance_data[[#This Row],[Date_Sold]])</f>
        <v>1</v>
      </c>
      <c r="I142">
        <f>YEAR(product_performance_data[[#This Row],[Date_Sold]])</f>
        <v>2023</v>
      </c>
      <c r="J142" t="str">
        <f>TEXT(product_performance_data[[#This Row],[Date_Sold]],"ddd")</f>
        <v>Thu</v>
      </c>
    </row>
    <row r="143" spans="1:10" x14ac:dyDescent="0.3">
      <c r="A143" t="s">
        <v>720</v>
      </c>
      <c r="B143" t="s">
        <v>721</v>
      </c>
      <c r="C143" t="s">
        <v>63</v>
      </c>
      <c r="D143">
        <v>355</v>
      </c>
      <c r="E143">
        <v>493.2</v>
      </c>
      <c r="F143" s="1">
        <v>45445</v>
      </c>
      <c r="G143" s="2">
        <v>175086</v>
      </c>
      <c r="H143">
        <f>MONTH(product_performance_data[[#This Row],[Date_Sold]])</f>
        <v>6</v>
      </c>
      <c r="I143">
        <f>YEAR(product_performance_data[[#This Row],[Date_Sold]])</f>
        <v>2024</v>
      </c>
      <c r="J143" t="str">
        <f>TEXT(product_performance_data[[#This Row],[Date_Sold]],"ddd")</f>
        <v>Sun</v>
      </c>
    </row>
    <row r="144" spans="1:10" x14ac:dyDescent="0.3">
      <c r="A144" t="s">
        <v>722</v>
      </c>
      <c r="B144" t="s">
        <v>723</v>
      </c>
      <c r="C144" t="s">
        <v>30</v>
      </c>
      <c r="D144">
        <v>633</v>
      </c>
      <c r="E144">
        <v>270.61</v>
      </c>
      <c r="F144" s="1">
        <v>45360</v>
      </c>
      <c r="G144" s="2">
        <v>171296.13</v>
      </c>
      <c r="H144">
        <f>MONTH(product_performance_data[[#This Row],[Date_Sold]])</f>
        <v>3</v>
      </c>
      <c r="I144">
        <f>YEAR(product_performance_data[[#This Row],[Date_Sold]])</f>
        <v>2024</v>
      </c>
      <c r="J144" t="str">
        <f>TEXT(product_performance_data[[#This Row],[Date_Sold]],"ddd")</f>
        <v>Sat</v>
      </c>
    </row>
    <row r="145" spans="1:10" x14ac:dyDescent="0.3">
      <c r="A145" t="s">
        <v>854</v>
      </c>
      <c r="B145" t="s">
        <v>855</v>
      </c>
      <c r="C145" t="s">
        <v>12</v>
      </c>
      <c r="D145">
        <v>479</v>
      </c>
      <c r="E145">
        <v>356.92</v>
      </c>
      <c r="F145" s="1">
        <v>45993</v>
      </c>
      <c r="G145" s="2">
        <v>170964.68000000002</v>
      </c>
      <c r="H145">
        <f>MONTH(product_performance_data[[#This Row],[Date_Sold]])</f>
        <v>12</v>
      </c>
      <c r="I145">
        <f>YEAR(product_performance_data[[#This Row],[Date_Sold]])</f>
        <v>2025</v>
      </c>
      <c r="J145" t="str">
        <f>TEXT(product_performance_data[[#This Row],[Date_Sold]],"ddd")</f>
        <v>Tue</v>
      </c>
    </row>
    <row r="146" spans="1:10" x14ac:dyDescent="0.3">
      <c r="A146" t="s">
        <v>100</v>
      </c>
      <c r="B146" t="s">
        <v>101</v>
      </c>
      <c r="C146" t="s">
        <v>37</v>
      </c>
      <c r="D146">
        <v>485</v>
      </c>
      <c r="E146" s="2">
        <v>351.26</v>
      </c>
      <c r="F146" s="1">
        <v>45493</v>
      </c>
      <c r="G146" s="2">
        <v>170361.1</v>
      </c>
      <c r="H146">
        <f>MONTH(product_performance_data[[#This Row],[Date_Sold]])</f>
        <v>7</v>
      </c>
      <c r="I146">
        <f>YEAR(product_performance_data[[#This Row],[Date_Sold]])</f>
        <v>2024</v>
      </c>
      <c r="J146" t="str">
        <f>TEXT(product_performance_data[[#This Row],[Date_Sold]],"ddd")</f>
        <v>Sat</v>
      </c>
    </row>
    <row r="147" spans="1:10" x14ac:dyDescent="0.3">
      <c r="A147" t="s">
        <v>958</v>
      </c>
      <c r="B147" t="s">
        <v>959</v>
      </c>
      <c r="C147" t="s">
        <v>30</v>
      </c>
      <c r="D147">
        <v>937</v>
      </c>
      <c r="E147">
        <v>180.9</v>
      </c>
      <c r="F147" s="1">
        <v>45046</v>
      </c>
      <c r="G147" s="2">
        <v>169503.30000000002</v>
      </c>
      <c r="H147">
        <f>MONTH(product_performance_data[[#This Row],[Date_Sold]])</f>
        <v>4</v>
      </c>
      <c r="I147">
        <f>YEAR(product_performance_data[[#This Row],[Date_Sold]])</f>
        <v>2023</v>
      </c>
      <c r="J147" t="str">
        <f>TEXT(product_performance_data[[#This Row],[Date_Sold]],"ddd")</f>
        <v>Sun</v>
      </c>
    </row>
    <row r="148" spans="1:10" x14ac:dyDescent="0.3">
      <c r="A148" t="s">
        <v>841</v>
      </c>
      <c r="B148" t="s">
        <v>842</v>
      </c>
      <c r="C148" t="s">
        <v>30</v>
      </c>
      <c r="D148">
        <v>410</v>
      </c>
      <c r="E148">
        <v>411.33</v>
      </c>
      <c r="F148" s="1">
        <v>45758</v>
      </c>
      <c r="G148" s="2">
        <v>168645.3</v>
      </c>
      <c r="H148">
        <f>MONTH(product_performance_data[[#This Row],[Date_Sold]])</f>
        <v>4</v>
      </c>
      <c r="I148">
        <f>YEAR(product_performance_data[[#This Row],[Date_Sold]])</f>
        <v>2025</v>
      </c>
      <c r="J148" t="str">
        <f>TEXT(product_performance_data[[#This Row],[Date_Sold]],"ddd")</f>
        <v>Fri</v>
      </c>
    </row>
    <row r="149" spans="1:10" x14ac:dyDescent="0.3">
      <c r="A149" t="s">
        <v>178</v>
      </c>
      <c r="B149" t="s">
        <v>179</v>
      </c>
      <c r="C149" t="s">
        <v>30</v>
      </c>
      <c r="D149">
        <v>952</v>
      </c>
      <c r="E149">
        <v>176.42</v>
      </c>
      <c r="F149" s="1">
        <v>45910</v>
      </c>
      <c r="G149" s="2">
        <v>167951.84</v>
      </c>
      <c r="H149">
        <f>MONTH(product_performance_data[[#This Row],[Date_Sold]])</f>
        <v>9</v>
      </c>
      <c r="I149">
        <f>YEAR(product_performance_data[[#This Row],[Date_Sold]])</f>
        <v>2025</v>
      </c>
      <c r="J149" t="str">
        <f>TEXT(product_performance_data[[#This Row],[Date_Sold]],"ddd")</f>
        <v>Wed</v>
      </c>
    </row>
    <row r="150" spans="1:10" x14ac:dyDescent="0.3">
      <c r="A150" t="s">
        <v>847</v>
      </c>
      <c r="B150" t="s">
        <v>319</v>
      </c>
      <c r="C150" t="s">
        <v>30</v>
      </c>
      <c r="D150">
        <v>697</v>
      </c>
      <c r="E150">
        <v>240.93</v>
      </c>
      <c r="F150" s="1">
        <v>45033</v>
      </c>
      <c r="G150" s="2">
        <v>167928.21</v>
      </c>
      <c r="H150">
        <f>MONTH(product_performance_data[[#This Row],[Date_Sold]])</f>
        <v>4</v>
      </c>
      <c r="I150">
        <f>YEAR(product_performance_data[[#This Row],[Date_Sold]])</f>
        <v>2023</v>
      </c>
      <c r="J150" t="str">
        <f>TEXT(product_performance_data[[#This Row],[Date_Sold]],"ddd")</f>
        <v>Mon</v>
      </c>
    </row>
    <row r="151" spans="1:10" x14ac:dyDescent="0.3">
      <c r="A151" t="s">
        <v>697</v>
      </c>
      <c r="B151" t="s">
        <v>698</v>
      </c>
      <c r="C151" t="s">
        <v>12</v>
      </c>
      <c r="D151">
        <v>997</v>
      </c>
      <c r="E151" s="8">
        <v>168.4</v>
      </c>
      <c r="F151" s="1">
        <v>44999</v>
      </c>
      <c r="G151" s="2">
        <v>167894.80000000002</v>
      </c>
      <c r="H151">
        <f>MONTH(product_performance_data[[#This Row],[Date_Sold]])</f>
        <v>3</v>
      </c>
      <c r="I151">
        <f>YEAR(product_performance_data[[#This Row],[Date_Sold]])</f>
        <v>2023</v>
      </c>
      <c r="J151" t="str">
        <f>TEXT(product_performance_data[[#This Row],[Date_Sold]],"ddd")</f>
        <v>Tue</v>
      </c>
    </row>
    <row r="152" spans="1:10" x14ac:dyDescent="0.3">
      <c r="A152" t="s">
        <v>684</v>
      </c>
      <c r="B152" t="s">
        <v>685</v>
      </c>
      <c r="C152" t="s">
        <v>63</v>
      </c>
      <c r="D152">
        <v>945</v>
      </c>
      <c r="E152">
        <v>177.07</v>
      </c>
      <c r="F152" s="1">
        <v>45239</v>
      </c>
      <c r="G152" s="2">
        <v>167331.15</v>
      </c>
      <c r="H152">
        <f>MONTH(product_performance_data[[#This Row],[Date_Sold]])</f>
        <v>11</v>
      </c>
      <c r="I152">
        <f>YEAR(product_performance_data[[#This Row],[Date_Sold]])</f>
        <v>2023</v>
      </c>
      <c r="J152" t="str">
        <f>TEXT(product_performance_data[[#This Row],[Date_Sold]],"ddd")</f>
        <v>Thu</v>
      </c>
    </row>
    <row r="153" spans="1:10" x14ac:dyDescent="0.3">
      <c r="A153" t="s">
        <v>600</v>
      </c>
      <c r="B153" t="s">
        <v>601</v>
      </c>
      <c r="C153" t="s">
        <v>12</v>
      </c>
      <c r="D153">
        <v>425</v>
      </c>
      <c r="E153">
        <v>393.41</v>
      </c>
      <c r="F153" s="1">
        <v>45842</v>
      </c>
      <c r="G153" s="2">
        <v>167199.25</v>
      </c>
      <c r="H153">
        <f>MONTH(product_performance_data[[#This Row],[Date_Sold]])</f>
        <v>7</v>
      </c>
      <c r="I153">
        <f>YEAR(product_performance_data[[#This Row],[Date_Sold]])</f>
        <v>2025</v>
      </c>
      <c r="J153" t="str">
        <f>TEXT(product_performance_data[[#This Row],[Date_Sold]],"ddd")</f>
        <v>Fri</v>
      </c>
    </row>
    <row r="154" spans="1:10" x14ac:dyDescent="0.3">
      <c r="A154" t="s">
        <v>750</v>
      </c>
      <c r="B154" t="s">
        <v>751</v>
      </c>
      <c r="C154" t="s">
        <v>12</v>
      </c>
      <c r="D154">
        <v>825</v>
      </c>
      <c r="E154">
        <v>201.6</v>
      </c>
      <c r="F154" s="1">
        <v>45473</v>
      </c>
      <c r="G154" s="2">
        <v>166320</v>
      </c>
      <c r="H154">
        <f>MONTH(product_performance_data[[#This Row],[Date_Sold]])</f>
        <v>6</v>
      </c>
      <c r="I154">
        <f>YEAR(product_performance_data[[#This Row],[Date_Sold]])</f>
        <v>2024</v>
      </c>
      <c r="J154" t="str">
        <f>TEXT(product_performance_data[[#This Row],[Date_Sold]],"ddd")</f>
        <v>Sun</v>
      </c>
    </row>
    <row r="155" spans="1:10" x14ac:dyDescent="0.3">
      <c r="A155" t="s">
        <v>398</v>
      </c>
      <c r="B155" t="s">
        <v>399</v>
      </c>
      <c r="C155" t="s">
        <v>9</v>
      </c>
      <c r="D155">
        <v>752</v>
      </c>
      <c r="E155">
        <v>220.05</v>
      </c>
      <c r="F155" s="1">
        <v>45451</v>
      </c>
      <c r="G155" s="2">
        <v>165477.6</v>
      </c>
      <c r="H155">
        <f>MONTH(product_performance_data[[#This Row],[Date_Sold]])</f>
        <v>6</v>
      </c>
      <c r="I155">
        <f>YEAR(product_performance_data[[#This Row],[Date_Sold]])</f>
        <v>2024</v>
      </c>
      <c r="J155" t="str">
        <f>TEXT(product_performance_data[[#This Row],[Date_Sold]],"ddd")</f>
        <v>Sat</v>
      </c>
    </row>
    <row r="156" spans="1:10" x14ac:dyDescent="0.3">
      <c r="A156" t="s">
        <v>596</v>
      </c>
      <c r="B156" t="s">
        <v>597</v>
      </c>
      <c r="C156" t="s">
        <v>9</v>
      </c>
      <c r="D156" s="12">
        <v>495</v>
      </c>
      <c r="E156">
        <v>242.62</v>
      </c>
      <c r="F156" s="1">
        <v>45425</v>
      </c>
      <c r="G156" s="2">
        <v>165224.22</v>
      </c>
      <c r="H156">
        <f>MONTH(product_performance_data[[#This Row],[Date_Sold]])</f>
        <v>5</v>
      </c>
      <c r="I156">
        <f>YEAR(product_performance_data[[#This Row],[Date_Sold]])</f>
        <v>2024</v>
      </c>
      <c r="J156" t="str">
        <f>TEXT(product_performance_data[[#This Row],[Date_Sold]],"ddd")</f>
        <v>Mon</v>
      </c>
    </row>
    <row r="157" spans="1:10" x14ac:dyDescent="0.3">
      <c r="A157" t="s">
        <v>682</v>
      </c>
      <c r="B157" t="s">
        <v>683</v>
      </c>
      <c r="C157" t="s">
        <v>23</v>
      </c>
      <c r="D157">
        <v>938</v>
      </c>
      <c r="E157">
        <v>175.82</v>
      </c>
      <c r="F157" s="1">
        <v>45619</v>
      </c>
      <c r="G157" s="2">
        <v>164919.16</v>
      </c>
      <c r="H157">
        <f>MONTH(product_performance_data[[#This Row],[Date_Sold]])</f>
        <v>11</v>
      </c>
      <c r="I157">
        <f>YEAR(product_performance_data[[#This Row],[Date_Sold]])</f>
        <v>2024</v>
      </c>
      <c r="J157" t="str">
        <f>TEXT(product_performance_data[[#This Row],[Date_Sold]],"ddd")</f>
        <v>Sat</v>
      </c>
    </row>
    <row r="158" spans="1:10" x14ac:dyDescent="0.3">
      <c r="A158" t="s">
        <v>288</v>
      </c>
      <c r="B158" t="s">
        <v>289</v>
      </c>
      <c r="C158" t="s">
        <v>63</v>
      </c>
      <c r="D158">
        <v>481</v>
      </c>
      <c r="E158">
        <v>341.52</v>
      </c>
      <c r="F158" s="1">
        <v>45014</v>
      </c>
      <c r="G158" s="2">
        <v>164271.12</v>
      </c>
      <c r="H158">
        <f>MONTH(product_performance_data[[#This Row],[Date_Sold]])</f>
        <v>3</v>
      </c>
      <c r="I158">
        <f>YEAR(product_performance_data[[#This Row],[Date_Sold]])</f>
        <v>2023</v>
      </c>
      <c r="J158" t="str">
        <f>TEXT(product_performance_data[[#This Row],[Date_Sold]],"ddd")</f>
        <v>Wed</v>
      </c>
    </row>
    <row r="159" spans="1:10" x14ac:dyDescent="0.3">
      <c r="A159" t="s">
        <v>582</v>
      </c>
      <c r="B159" t="s">
        <v>583</v>
      </c>
      <c r="C159" t="s">
        <v>30</v>
      </c>
      <c r="D159">
        <v>394</v>
      </c>
      <c r="E159">
        <v>416.53</v>
      </c>
      <c r="F159" s="1">
        <v>45625</v>
      </c>
      <c r="G159" s="2">
        <v>164112.81999999998</v>
      </c>
      <c r="H159">
        <f>MONTH(product_performance_data[[#This Row],[Date_Sold]])</f>
        <v>11</v>
      </c>
      <c r="I159">
        <f>YEAR(product_performance_data[[#This Row],[Date_Sold]])</f>
        <v>2024</v>
      </c>
      <c r="J159" t="str">
        <f>TEXT(product_performance_data[[#This Row],[Date_Sold]],"ddd")</f>
        <v>Fri</v>
      </c>
    </row>
    <row r="160" spans="1:10" x14ac:dyDescent="0.3">
      <c r="A160" t="s">
        <v>333</v>
      </c>
      <c r="B160" t="s">
        <v>334</v>
      </c>
      <c r="C160" t="s">
        <v>63</v>
      </c>
      <c r="D160">
        <v>416</v>
      </c>
      <c r="E160">
        <v>391.74</v>
      </c>
      <c r="F160" s="1">
        <v>45333</v>
      </c>
      <c r="G160" s="2">
        <v>162963.84</v>
      </c>
      <c r="H160">
        <f>MONTH(product_performance_data[[#This Row],[Date_Sold]])</f>
        <v>2</v>
      </c>
      <c r="I160">
        <f>YEAR(product_performance_data[[#This Row],[Date_Sold]])</f>
        <v>2024</v>
      </c>
      <c r="J160" t="str">
        <f>TEXT(product_performance_data[[#This Row],[Date_Sold]],"ddd")</f>
        <v>Sun</v>
      </c>
    </row>
    <row r="161" spans="1:10" x14ac:dyDescent="0.3">
      <c r="A161" t="s">
        <v>937</v>
      </c>
      <c r="B161" t="s">
        <v>938</v>
      </c>
      <c r="C161" t="s">
        <v>12</v>
      </c>
      <c r="D161">
        <v>358</v>
      </c>
      <c r="E161">
        <v>454.39</v>
      </c>
      <c r="F161" s="1">
        <v>45372</v>
      </c>
      <c r="G161" s="2">
        <v>162671.62</v>
      </c>
      <c r="H161">
        <f>MONTH(product_performance_data[[#This Row],[Date_Sold]])</f>
        <v>3</v>
      </c>
      <c r="I161">
        <f>YEAR(product_performance_data[[#This Row],[Date_Sold]])</f>
        <v>2024</v>
      </c>
      <c r="J161" t="str">
        <f>TEXT(product_performance_data[[#This Row],[Date_Sold]],"ddd")</f>
        <v>Thu</v>
      </c>
    </row>
    <row r="162" spans="1:10" x14ac:dyDescent="0.3">
      <c r="A162" t="s">
        <v>296</v>
      </c>
      <c r="B162" t="s">
        <v>297</v>
      </c>
      <c r="C162" t="s">
        <v>9</v>
      </c>
      <c r="D162">
        <v>602</v>
      </c>
      <c r="E162">
        <v>269.49</v>
      </c>
      <c r="F162" s="1">
        <v>45769</v>
      </c>
      <c r="G162" s="2">
        <v>162232.98000000001</v>
      </c>
      <c r="H162">
        <f>MONTH(product_performance_data[[#This Row],[Date_Sold]])</f>
        <v>4</v>
      </c>
      <c r="I162">
        <f>YEAR(product_performance_data[[#This Row],[Date_Sold]])</f>
        <v>2025</v>
      </c>
      <c r="J162" t="str">
        <f>TEXT(product_performance_data[[#This Row],[Date_Sold]],"ddd")</f>
        <v>Tue</v>
      </c>
    </row>
    <row r="163" spans="1:10" x14ac:dyDescent="0.3">
      <c r="A163" t="s">
        <v>691</v>
      </c>
      <c r="B163" t="s">
        <v>692</v>
      </c>
      <c r="C163" t="s">
        <v>37</v>
      </c>
      <c r="D163">
        <v>881</v>
      </c>
      <c r="E163">
        <v>181.22</v>
      </c>
      <c r="F163" s="1">
        <v>45448</v>
      </c>
      <c r="G163" s="2">
        <v>159654.82</v>
      </c>
      <c r="H163">
        <f>MONTH(product_performance_data[[#This Row],[Date_Sold]])</f>
        <v>6</v>
      </c>
      <c r="I163">
        <f>YEAR(product_performance_data[[#This Row],[Date_Sold]])</f>
        <v>2024</v>
      </c>
      <c r="J163" t="str">
        <f>TEXT(product_performance_data[[#This Row],[Date_Sold]],"ddd")</f>
        <v>Wed</v>
      </c>
    </row>
    <row r="164" spans="1:10" x14ac:dyDescent="0.3">
      <c r="A164" t="s">
        <v>13</v>
      </c>
      <c r="B164" t="s">
        <v>14</v>
      </c>
      <c r="C164" t="s">
        <v>12</v>
      </c>
      <c r="D164">
        <v>870</v>
      </c>
      <c r="E164" s="2">
        <v>182.53</v>
      </c>
      <c r="F164" s="1">
        <v>45519</v>
      </c>
      <c r="G164" s="2">
        <v>158801.1</v>
      </c>
      <c r="H164">
        <f>MONTH(product_performance_data[[#This Row],[Date_Sold]])</f>
        <v>8</v>
      </c>
      <c r="I164">
        <f>YEAR(product_performance_data[[#This Row],[Date_Sold]])</f>
        <v>2024</v>
      </c>
      <c r="J164" t="str">
        <f>TEXT(product_performance_data[[#This Row],[Date_Sold]],"ddd")</f>
        <v>Thu</v>
      </c>
    </row>
    <row r="165" spans="1:10" x14ac:dyDescent="0.3">
      <c r="A165" t="s">
        <v>923</v>
      </c>
      <c r="B165" t="s">
        <v>924</v>
      </c>
      <c r="C165" t="s">
        <v>30</v>
      </c>
      <c r="D165">
        <v>382</v>
      </c>
      <c r="E165">
        <v>414.83</v>
      </c>
      <c r="F165" s="1">
        <v>45439</v>
      </c>
      <c r="G165" s="2">
        <v>158465.06</v>
      </c>
      <c r="H165">
        <f>MONTH(product_performance_data[[#This Row],[Date_Sold]])</f>
        <v>5</v>
      </c>
      <c r="I165">
        <f>YEAR(product_performance_data[[#This Row],[Date_Sold]])</f>
        <v>2024</v>
      </c>
      <c r="J165" t="str">
        <f>TEXT(product_performance_data[[#This Row],[Date_Sold]],"ddd")</f>
        <v>Mon</v>
      </c>
    </row>
    <row r="166" spans="1:10" x14ac:dyDescent="0.3">
      <c r="A166" t="s">
        <v>160</v>
      </c>
      <c r="B166" t="s">
        <v>161</v>
      </c>
      <c r="C166" t="s">
        <v>37</v>
      </c>
      <c r="D166">
        <v>907</v>
      </c>
      <c r="E166">
        <v>174.23</v>
      </c>
      <c r="F166" s="1">
        <v>45342</v>
      </c>
      <c r="G166" s="2">
        <v>158026.60999999999</v>
      </c>
      <c r="H166">
        <f>MONTH(product_performance_data[[#This Row],[Date_Sold]])</f>
        <v>2</v>
      </c>
      <c r="I166">
        <f>YEAR(product_performance_data[[#This Row],[Date_Sold]])</f>
        <v>2024</v>
      </c>
      <c r="J166" t="str">
        <f>TEXT(product_performance_data[[#This Row],[Date_Sold]],"ddd")</f>
        <v>Tue</v>
      </c>
    </row>
    <row r="167" spans="1:10" x14ac:dyDescent="0.3">
      <c r="A167" t="s">
        <v>699</v>
      </c>
      <c r="B167" t="s">
        <v>700</v>
      </c>
      <c r="C167" t="s">
        <v>12</v>
      </c>
      <c r="D167">
        <v>962</v>
      </c>
      <c r="E167">
        <v>164.18</v>
      </c>
      <c r="F167" s="1">
        <v>45836</v>
      </c>
      <c r="G167" s="2">
        <v>157941.16</v>
      </c>
      <c r="H167">
        <f>MONTH(product_performance_data[[#This Row],[Date_Sold]])</f>
        <v>6</v>
      </c>
      <c r="I167">
        <f>YEAR(product_performance_data[[#This Row],[Date_Sold]])</f>
        <v>2025</v>
      </c>
      <c r="J167" t="str">
        <f>TEXT(product_performance_data[[#This Row],[Date_Sold]],"ddd")</f>
        <v>Sat</v>
      </c>
    </row>
    <row r="168" spans="1:10" x14ac:dyDescent="0.3">
      <c r="A168" t="s">
        <v>364</v>
      </c>
      <c r="B168" t="s">
        <v>365</v>
      </c>
      <c r="C168" t="s">
        <v>63</v>
      </c>
      <c r="D168">
        <v>778</v>
      </c>
      <c r="E168">
        <v>201.34</v>
      </c>
      <c r="F168" s="1">
        <v>45312</v>
      </c>
      <c r="G168" s="2">
        <v>156642.51999999999</v>
      </c>
      <c r="H168">
        <f>MONTH(product_performance_data[[#This Row],[Date_Sold]])</f>
        <v>1</v>
      </c>
      <c r="I168">
        <f>YEAR(product_performance_data[[#This Row],[Date_Sold]])</f>
        <v>2024</v>
      </c>
      <c r="J168" t="str">
        <f>TEXT(product_performance_data[[#This Row],[Date_Sold]],"ddd")</f>
        <v>Sun</v>
      </c>
    </row>
    <row r="169" spans="1:10" x14ac:dyDescent="0.3">
      <c r="A169" t="s">
        <v>198</v>
      </c>
      <c r="B169" t="s">
        <v>199</v>
      </c>
      <c r="C169" t="s">
        <v>9</v>
      </c>
      <c r="D169">
        <v>575</v>
      </c>
      <c r="E169">
        <v>271.99</v>
      </c>
      <c r="F169" s="1">
        <v>45491</v>
      </c>
      <c r="G169" s="2">
        <v>156394.25</v>
      </c>
      <c r="H169">
        <f>MONTH(product_performance_data[[#This Row],[Date_Sold]])</f>
        <v>7</v>
      </c>
      <c r="I169">
        <f>YEAR(product_performance_data[[#This Row],[Date_Sold]])</f>
        <v>2024</v>
      </c>
      <c r="J169" t="str">
        <f>TEXT(product_performance_data[[#This Row],[Date_Sold]],"ddd")</f>
        <v>Thu</v>
      </c>
    </row>
    <row r="170" spans="1:10" x14ac:dyDescent="0.3">
      <c r="A170" t="s">
        <v>799</v>
      </c>
      <c r="B170" t="s">
        <v>800</v>
      </c>
      <c r="C170" t="s">
        <v>9</v>
      </c>
      <c r="D170">
        <v>923</v>
      </c>
      <c r="E170">
        <v>168.52</v>
      </c>
      <c r="F170" s="1">
        <v>45381</v>
      </c>
      <c r="G170" s="2">
        <v>155543.96000000002</v>
      </c>
      <c r="H170">
        <f>MONTH(product_performance_data[[#This Row],[Date_Sold]])</f>
        <v>3</v>
      </c>
      <c r="I170">
        <f>YEAR(product_performance_data[[#This Row],[Date_Sold]])</f>
        <v>2024</v>
      </c>
      <c r="J170" t="str">
        <f>TEXT(product_performance_data[[#This Row],[Date_Sold]],"ddd")</f>
        <v>Sat</v>
      </c>
    </row>
    <row r="171" spans="1:10" x14ac:dyDescent="0.3">
      <c r="A171" t="s">
        <v>412</v>
      </c>
      <c r="B171" t="s">
        <v>413</v>
      </c>
      <c r="C171" t="s">
        <v>63</v>
      </c>
      <c r="D171">
        <v>416</v>
      </c>
      <c r="E171">
        <v>373.38</v>
      </c>
      <c r="F171" s="1">
        <v>45227</v>
      </c>
      <c r="G171" s="2">
        <v>155326.07999999999</v>
      </c>
      <c r="H171">
        <f>MONTH(product_performance_data[[#This Row],[Date_Sold]])</f>
        <v>10</v>
      </c>
      <c r="I171">
        <f>YEAR(product_performance_data[[#This Row],[Date_Sold]])</f>
        <v>2023</v>
      </c>
      <c r="J171" t="str">
        <f>TEXT(product_performance_data[[#This Row],[Date_Sold]],"ddd")</f>
        <v>Sat</v>
      </c>
    </row>
    <row r="172" spans="1:10" x14ac:dyDescent="0.3">
      <c r="A172" t="s">
        <v>280</v>
      </c>
      <c r="B172" t="s">
        <v>281</v>
      </c>
      <c r="C172" t="s">
        <v>23</v>
      </c>
      <c r="D172">
        <v>530</v>
      </c>
      <c r="E172">
        <v>292.37</v>
      </c>
      <c r="F172" s="1">
        <v>45434</v>
      </c>
      <c r="G172" s="2">
        <v>154956.1</v>
      </c>
      <c r="H172">
        <f>MONTH(product_performance_data[[#This Row],[Date_Sold]])</f>
        <v>5</v>
      </c>
      <c r="I172">
        <f>YEAR(product_performance_data[[#This Row],[Date_Sold]])</f>
        <v>2024</v>
      </c>
      <c r="J172" t="str">
        <f>TEXT(product_performance_data[[#This Row],[Date_Sold]],"ddd")</f>
        <v>Wed</v>
      </c>
    </row>
    <row r="173" spans="1:10" x14ac:dyDescent="0.3">
      <c r="A173" t="s">
        <v>688</v>
      </c>
      <c r="B173" t="s">
        <v>689</v>
      </c>
      <c r="C173" t="s">
        <v>30</v>
      </c>
      <c r="D173">
        <v>560</v>
      </c>
      <c r="E173">
        <v>276.61</v>
      </c>
      <c r="F173" s="1">
        <v>45854</v>
      </c>
      <c r="G173" s="2">
        <v>154901.6</v>
      </c>
      <c r="H173">
        <f>MONTH(product_performance_data[[#This Row],[Date_Sold]])</f>
        <v>7</v>
      </c>
      <c r="I173">
        <f>YEAR(product_performance_data[[#This Row],[Date_Sold]])</f>
        <v>2025</v>
      </c>
      <c r="J173" t="str">
        <f>TEXT(product_performance_data[[#This Row],[Date_Sold]],"ddd")</f>
        <v>Wed</v>
      </c>
    </row>
    <row r="174" spans="1:10" x14ac:dyDescent="0.3">
      <c r="A174" t="s">
        <v>385</v>
      </c>
      <c r="B174" t="s">
        <v>386</v>
      </c>
      <c r="C174" t="s">
        <v>12</v>
      </c>
      <c r="D174">
        <v>867</v>
      </c>
      <c r="E174">
        <v>178.36</v>
      </c>
      <c r="F174" s="1">
        <v>45475</v>
      </c>
      <c r="G174" s="2">
        <v>154638.12000000002</v>
      </c>
      <c r="H174">
        <f>MONTH(product_performance_data[[#This Row],[Date_Sold]])</f>
        <v>7</v>
      </c>
      <c r="I174">
        <f>YEAR(product_performance_data[[#This Row],[Date_Sold]])</f>
        <v>2024</v>
      </c>
      <c r="J174" t="str">
        <f>TEXT(product_performance_data[[#This Row],[Date_Sold]],"ddd")</f>
        <v>Tue</v>
      </c>
    </row>
    <row r="175" spans="1:10" x14ac:dyDescent="0.3">
      <c r="A175" t="s">
        <v>250</v>
      </c>
      <c r="B175" t="s">
        <v>251</v>
      </c>
      <c r="C175" t="s">
        <v>30</v>
      </c>
      <c r="D175">
        <v>888</v>
      </c>
      <c r="E175">
        <v>173.61</v>
      </c>
      <c r="F175" s="1">
        <v>45582</v>
      </c>
      <c r="G175" s="2">
        <v>154165.68000000002</v>
      </c>
      <c r="H175">
        <f>MONTH(product_performance_data[[#This Row],[Date_Sold]])</f>
        <v>10</v>
      </c>
      <c r="I175">
        <f>YEAR(product_performance_data[[#This Row],[Date_Sold]])</f>
        <v>2024</v>
      </c>
      <c r="J175" t="str">
        <f>TEXT(product_performance_data[[#This Row],[Date_Sold]],"ddd")</f>
        <v>Thu</v>
      </c>
    </row>
    <row r="176" spans="1:10" x14ac:dyDescent="0.3">
      <c r="A176" t="s">
        <v>282</v>
      </c>
      <c r="B176" t="s">
        <v>283</v>
      </c>
      <c r="C176" t="s">
        <v>12</v>
      </c>
      <c r="D176">
        <v>353</v>
      </c>
      <c r="E176">
        <v>434.22</v>
      </c>
      <c r="F176" s="1">
        <v>45901</v>
      </c>
      <c r="G176" s="2">
        <v>153279.66</v>
      </c>
      <c r="H176">
        <f>MONTH(product_performance_data[[#This Row],[Date_Sold]])</f>
        <v>9</v>
      </c>
      <c r="I176">
        <f>YEAR(product_performance_data[[#This Row],[Date_Sold]])</f>
        <v>2025</v>
      </c>
      <c r="J176" t="str">
        <f>TEXT(product_performance_data[[#This Row],[Date_Sold]],"ddd")</f>
        <v>Mon</v>
      </c>
    </row>
    <row r="177" spans="1:10" x14ac:dyDescent="0.3">
      <c r="A177" t="s">
        <v>598</v>
      </c>
      <c r="B177" t="s">
        <v>599</v>
      </c>
      <c r="C177" t="s">
        <v>9</v>
      </c>
      <c r="D177">
        <v>719</v>
      </c>
      <c r="E177">
        <v>213.17</v>
      </c>
      <c r="F177" s="1">
        <v>45515</v>
      </c>
      <c r="G177" s="2">
        <v>153269.22999999998</v>
      </c>
      <c r="H177">
        <f>MONTH(product_performance_data[[#This Row],[Date_Sold]])</f>
        <v>8</v>
      </c>
      <c r="I177">
        <f>YEAR(product_performance_data[[#This Row],[Date_Sold]])</f>
        <v>2024</v>
      </c>
      <c r="J177" t="str">
        <f>TEXT(product_performance_data[[#This Row],[Date_Sold]],"ddd")</f>
        <v>Sun</v>
      </c>
    </row>
    <row r="178" spans="1:10" x14ac:dyDescent="0.3">
      <c r="A178" t="s">
        <v>507</v>
      </c>
      <c r="B178" t="s">
        <v>508</v>
      </c>
      <c r="C178" t="s">
        <v>23</v>
      </c>
      <c r="D178">
        <v>327</v>
      </c>
      <c r="E178">
        <v>459.99</v>
      </c>
      <c r="F178" s="1">
        <v>45022</v>
      </c>
      <c r="G178" s="2">
        <v>150416.73000000001</v>
      </c>
      <c r="H178">
        <f>MONTH(product_performance_data[[#This Row],[Date_Sold]])</f>
        <v>4</v>
      </c>
      <c r="I178">
        <f>YEAR(product_performance_data[[#This Row],[Date_Sold]])</f>
        <v>2023</v>
      </c>
      <c r="J178" t="str">
        <f>TEXT(product_performance_data[[#This Row],[Date_Sold]],"ddd")</f>
        <v>Thu</v>
      </c>
    </row>
    <row r="179" spans="1:10" x14ac:dyDescent="0.3">
      <c r="A179" t="s">
        <v>10</v>
      </c>
      <c r="B179" t="s">
        <v>11</v>
      </c>
      <c r="C179" t="s">
        <v>12</v>
      </c>
      <c r="D179">
        <v>445</v>
      </c>
      <c r="E179" s="2">
        <v>337.22</v>
      </c>
      <c r="F179" s="1">
        <v>45598</v>
      </c>
      <c r="G179" s="2">
        <v>150062.90000000002</v>
      </c>
      <c r="H179">
        <f>MONTH(product_performance_data[[#This Row],[Date_Sold]])</f>
        <v>11</v>
      </c>
      <c r="I179">
        <f>YEAR(product_performance_data[[#This Row],[Date_Sold]])</f>
        <v>2024</v>
      </c>
      <c r="J179" t="str">
        <f>TEXT(product_performance_data[[#This Row],[Date_Sold]],"ddd")</f>
        <v>Sat</v>
      </c>
    </row>
    <row r="180" spans="1:10" x14ac:dyDescent="0.3">
      <c r="A180" t="s">
        <v>246</v>
      </c>
      <c r="B180" t="s">
        <v>247</v>
      </c>
      <c r="C180" t="s">
        <v>9</v>
      </c>
      <c r="D180">
        <v>758</v>
      </c>
      <c r="E180" s="10">
        <v>195.77</v>
      </c>
      <c r="F180" s="1">
        <v>45505</v>
      </c>
      <c r="G180" s="2">
        <v>148393.66</v>
      </c>
      <c r="H180">
        <f>MONTH(product_performance_data[[#This Row],[Date_Sold]])</f>
        <v>8</v>
      </c>
      <c r="I180">
        <f>YEAR(product_performance_data[[#This Row],[Date_Sold]])</f>
        <v>2024</v>
      </c>
      <c r="J180" t="str">
        <f>TEXT(product_performance_data[[#This Row],[Date_Sold]],"ddd")</f>
        <v>Thu</v>
      </c>
    </row>
    <row r="181" spans="1:10" x14ac:dyDescent="0.3">
      <c r="A181" t="s">
        <v>396</v>
      </c>
      <c r="B181" t="s">
        <v>397</v>
      </c>
      <c r="C181" t="s">
        <v>63</v>
      </c>
      <c r="D181">
        <v>873</v>
      </c>
      <c r="E181">
        <v>168.48</v>
      </c>
      <c r="F181" s="1">
        <v>45831</v>
      </c>
      <c r="G181" s="2">
        <v>147083.03999999998</v>
      </c>
      <c r="H181">
        <f>MONTH(product_performance_data[[#This Row],[Date_Sold]])</f>
        <v>6</v>
      </c>
      <c r="I181">
        <f>YEAR(product_performance_data[[#This Row],[Date_Sold]])</f>
        <v>2025</v>
      </c>
      <c r="J181" t="str">
        <f>TEXT(product_performance_data[[#This Row],[Date_Sold]],"ddd")</f>
        <v>Mon</v>
      </c>
    </row>
    <row r="182" spans="1:10" x14ac:dyDescent="0.3">
      <c r="A182" t="s">
        <v>980</v>
      </c>
      <c r="B182" t="s">
        <v>981</v>
      </c>
      <c r="C182" t="s">
        <v>37</v>
      </c>
      <c r="D182">
        <v>332</v>
      </c>
      <c r="E182">
        <v>439.92</v>
      </c>
      <c r="F182" s="1">
        <v>44965</v>
      </c>
      <c r="G182" s="2">
        <v>146053.44</v>
      </c>
      <c r="H182">
        <f>MONTH(product_performance_data[[#This Row],[Date_Sold]])</f>
        <v>2</v>
      </c>
      <c r="I182">
        <f>YEAR(product_performance_data[[#This Row],[Date_Sold]])</f>
        <v>2023</v>
      </c>
      <c r="J182" t="str">
        <f>TEXT(product_performance_data[[#This Row],[Date_Sold]],"ddd")</f>
        <v>Wed</v>
      </c>
    </row>
    <row r="183" spans="1:10" x14ac:dyDescent="0.3">
      <c r="A183" t="s">
        <v>517</v>
      </c>
      <c r="B183" t="s">
        <v>518</v>
      </c>
      <c r="C183" t="s">
        <v>23</v>
      </c>
      <c r="D183">
        <v>693</v>
      </c>
      <c r="E183">
        <v>208.57</v>
      </c>
      <c r="F183" s="1">
        <v>45764</v>
      </c>
      <c r="G183" s="2">
        <v>144539.01</v>
      </c>
      <c r="H183">
        <f>MONTH(product_performance_data[[#This Row],[Date_Sold]])</f>
        <v>4</v>
      </c>
      <c r="I183">
        <f>YEAR(product_performance_data[[#This Row],[Date_Sold]])</f>
        <v>2025</v>
      </c>
      <c r="J183" t="str">
        <f>TEXT(product_performance_data[[#This Row],[Date_Sold]],"ddd")</f>
        <v>Thu</v>
      </c>
    </row>
    <row r="184" spans="1:10" x14ac:dyDescent="0.3">
      <c r="A184" t="s">
        <v>663</v>
      </c>
      <c r="B184" t="s">
        <v>664</v>
      </c>
      <c r="C184" t="s">
        <v>9</v>
      </c>
      <c r="D184">
        <v>412</v>
      </c>
      <c r="E184">
        <v>350.35</v>
      </c>
      <c r="F184" s="1">
        <v>45774</v>
      </c>
      <c r="G184" s="2">
        <v>144344.20000000001</v>
      </c>
      <c r="H184">
        <f>MONTH(product_performance_data[[#This Row],[Date_Sold]])</f>
        <v>4</v>
      </c>
      <c r="I184">
        <f>YEAR(product_performance_data[[#This Row],[Date_Sold]])</f>
        <v>2025</v>
      </c>
      <c r="J184" t="str">
        <f>TEXT(product_performance_data[[#This Row],[Date_Sold]],"ddd")</f>
        <v>Sun</v>
      </c>
    </row>
    <row r="185" spans="1:10" x14ac:dyDescent="0.3">
      <c r="A185" t="s">
        <v>553</v>
      </c>
      <c r="B185" t="s">
        <v>554</v>
      </c>
      <c r="C185" t="s">
        <v>37</v>
      </c>
      <c r="D185">
        <v>396</v>
      </c>
      <c r="E185">
        <v>364.43</v>
      </c>
      <c r="F185" s="1">
        <v>45148</v>
      </c>
      <c r="G185" s="2">
        <v>144314.28</v>
      </c>
      <c r="H185">
        <f>MONTH(product_performance_data[[#This Row],[Date_Sold]])</f>
        <v>8</v>
      </c>
      <c r="I185">
        <f>YEAR(product_performance_data[[#This Row],[Date_Sold]])</f>
        <v>2023</v>
      </c>
      <c r="J185" t="str">
        <f>TEXT(product_performance_data[[#This Row],[Date_Sold]],"ddd")</f>
        <v>Thu</v>
      </c>
    </row>
    <row r="186" spans="1:10" x14ac:dyDescent="0.3">
      <c r="A186" t="s">
        <v>98</v>
      </c>
      <c r="B186" t="s">
        <v>99</v>
      </c>
      <c r="C186" t="s">
        <v>30</v>
      </c>
      <c r="D186">
        <v>691</v>
      </c>
      <c r="E186" s="2">
        <v>208.62</v>
      </c>
      <c r="F186" s="1">
        <v>45847</v>
      </c>
      <c r="G186" s="2">
        <v>144156.42000000001</v>
      </c>
      <c r="H186">
        <f>MONTH(product_performance_data[[#This Row],[Date_Sold]])</f>
        <v>7</v>
      </c>
      <c r="I186">
        <f>YEAR(product_performance_data[[#This Row],[Date_Sold]])</f>
        <v>2025</v>
      </c>
      <c r="J186" t="str">
        <f>TEXT(product_performance_data[[#This Row],[Date_Sold]],"ddd")</f>
        <v>Wed</v>
      </c>
    </row>
    <row r="187" spans="1:10" x14ac:dyDescent="0.3">
      <c r="A187" t="s">
        <v>38</v>
      </c>
      <c r="B187" t="s">
        <v>39</v>
      </c>
      <c r="C187" t="s">
        <v>23</v>
      </c>
      <c r="D187">
        <v>468</v>
      </c>
      <c r="E187" s="2">
        <v>307.7</v>
      </c>
      <c r="F187" s="1">
        <v>45113</v>
      </c>
      <c r="G187" s="2">
        <v>144003.6</v>
      </c>
      <c r="H187">
        <f>MONTH(product_performance_data[[#This Row],[Date_Sold]])</f>
        <v>7</v>
      </c>
      <c r="I187">
        <f>YEAR(product_performance_data[[#This Row],[Date_Sold]])</f>
        <v>2023</v>
      </c>
      <c r="J187" t="str">
        <f>TEXT(product_performance_data[[#This Row],[Date_Sold]],"ddd")</f>
        <v>Thu</v>
      </c>
    </row>
    <row r="188" spans="1:10" x14ac:dyDescent="0.3">
      <c r="A188" t="s">
        <v>64</v>
      </c>
      <c r="B188" t="s">
        <v>65</v>
      </c>
      <c r="C188" t="s">
        <v>37</v>
      </c>
      <c r="D188">
        <v>423</v>
      </c>
      <c r="E188" s="2">
        <v>337.65</v>
      </c>
      <c r="F188" s="1">
        <v>45266</v>
      </c>
      <c r="G188" s="2">
        <v>142825.94999999998</v>
      </c>
      <c r="H188">
        <f>MONTH(product_performance_data[[#This Row],[Date_Sold]])</f>
        <v>12</v>
      </c>
      <c r="I188">
        <f>YEAR(product_performance_data[[#This Row],[Date_Sold]])</f>
        <v>2023</v>
      </c>
      <c r="J188" t="str">
        <f>TEXT(product_performance_data[[#This Row],[Date_Sold]],"ddd")</f>
        <v>Wed</v>
      </c>
    </row>
    <row r="189" spans="1:10" x14ac:dyDescent="0.3">
      <c r="A189" t="s">
        <v>769</v>
      </c>
      <c r="B189" t="s">
        <v>770</v>
      </c>
      <c r="C189" t="s">
        <v>37</v>
      </c>
      <c r="D189">
        <v>596</v>
      </c>
      <c r="E189">
        <v>239.62</v>
      </c>
      <c r="F189" s="1">
        <v>45331</v>
      </c>
      <c r="G189" s="2">
        <v>142813.51999999999</v>
      </c>
      <c r="H189">
        <f>MONTH(product_performance_data[[#This Row],[Date_Sold]])</f>
        <v>2</v>
      </c>
      <c r="I189">
        <f>YEAR(product_performance_data[[#This Row],[Date_Sold]])</f>
        <v>2024</v>
      </c>
      <c r="J189" t="str">
        <f>TEXT(product_performance_data[[#This Row],[Date_Sold]],"ddd")</f>
        <v>Fri</v>
      </c>
    </row>
    <row r="190" spans="1:10" x14ac:dyDescent="0.3">
      <c r="A190" t="s">
        <v>826</v>
      </c>
      <c r="B190" t="s">
        <v>827</v>
      </c>
      <c r="C190" t="s">
        <v>63</v>
      </c>
      <c r="D190">
        <v>286</v>
      </c>
      <c r="E190">
        <v>498.64</v>
      </c>
      <c r="F190" s="1">
        <v>45617</v>
      </c>
      <c r="G190" s="2">
        <v>142611.04</v>
      </c>
      <c r="H190">
        <f>MONTH(product_performance_data[[#This Row],[Date_Sold]])</f>
        <v>11</v>
      </c>
      <c r="I190">
        <f>YEAR(product_performance_data[[#This Row],[Date_Sold]])</f>
        <v>2024</v>
      </c>
      <c r="J190" t="str">
        <f>TEXT(product_performance_data[[#This Row],[Date_Sold]],"ddd")</f>
        <v>Thu</v>
      </c>
    </row>
    <row r="191" spans="1:10" x14ac:dyDescent="0.3">
      <c r="A191" t="s">
        <v>824</v>
      </c>
      <c r="B191" t="s">
        <v>825</v>
      </c>
      <c r="C191" t="s">
        <v>63</v>
      </c>
      <c r="D191">
        <v>407</v>
      </c>
      <c r="E191">
        <v>350</v>
      </c>
      <c r="F191" s="1">
        <v>45290</v>
      </c>
      <c r="G191" s="2">
        <v>142450</v>
      </c>
      <c r="H191">
        <f>MONTH(product_performance_data[[#This Row],[Date_Sold]])</f>
        <v>12</v>
      </c>
      <c r="I191">
        <f>YEAR(product_performance_data[[#This Row],[Date_Sold]])</f>
        <v>2023</v>
      </c>
      <c r="J191" t="str">
        <f>TEXT(product_performance_data[[#This Row],[Date_Sold]],"ddd")</f>
        <v>Sat</v>
      </c>
    </row>
    <row r="192" spans="1:10" x14ac:dyDescent="0.3">
      <c r="A192" t="s">
        <v>54</v>
      </c>
      <c r="B192" t="s">
        <v>55</v>
      </c>
      <c r="C192" t="s">
        <v>30</v>
      </c>
      <c r="D192">
        <v>318</v>
      </c>
      <c r="E192" s="2">
        <v>443.88</v>
      </c>
      <c r="F192" s="1">
        <v>44950</v>
      </c>
      <c r="G192" s="2">
        <v>141153.84</v>
      </c>
      <c r="H192">
        <f>MONTH(product_performance_data[[#This Row],[Date_Sold]])</f>
        <v>1</v>
      </c>
      <c r="I192">
        <f>YEAR(product_performance_data[[#This Row],[Date_Sold]])</f>
        <v>2023</v>
      </c>
      <c r="J192" t="str">
        <f>TEXT(product_performance_data[[#This Row],[Date_Sold]],"ddd")</f>
        <v>Tue</v>
      </c>
    </row>
    <row r="193" spans="1:10" x14ac:dyDescent="0.3">
      <c r="A193" t="s">
        <v>945</v>
      </c>
      <c r="B193" t="s">
        <v>946</v>
      </c>
      <c r="C193" t="s">
        <v>23</v>
      </c>
      <c r="D193">
        <v>616</v>
      </c>
      <c r="E193">
        <v>228.71</v>
      </c>
      <c r="F193" s="1">
        <v>44948</v>
      </c>
      <c r="G193" s="2">
        <v>140885.36000000002</v>
      </c>
      <c r="H193">
        <f>MONTH(product_performance_data[[#This Row],[Date_Sold]])</f>
        <v>1</v>
      </c>
      <c r="I193">
        <f>YEAR(product_performance_data[[#This Row],[Date_Sold]])</f>
        <v>2023</v>
      </c>
      <c r="J193" t="str">
        <f>TEXT(product_performance_data[[#This Row],[Date_Sold]],"ddd")</f>
        <v>Sun</v>
      </c>
    </row>
    <row r="194" spans="1:10" x14ac:dyDescent="0.3">
      <c r="A194" t="s">
        <v>112</v>
      </c>
      <c r="B194" t="s">
        <v>113</v>
      </c>
      <c r="C194" t="s">
        <v>30</v>
      </c>
      <c r="D194">
        <v>696</v>
      </c>
      <c r="E194" s="2">
        <v>202.42</v>
      </c>
      <c r="F194" s="1">
        <v>45425</v>
      </c>
      <c r="G194" s="2">
        <v>140884.31999999998</v>
      </c>
      <c r="H194">
        <f>MONTH(product_performance_data[[#This Row],[Date_Sold]])</f>
        <v>5</v>
      </c>
      <c r="I194">
        <f>YEAR(product_performance_data[[#This Row],[Date_Sold]])</f>
        <v>2024</v>
      </c>
      <c r="J194" t="str">
        <f>TEXT(product_performance_data[[#This Row],[Date_Sold]],"ddd")</f>
        <v>Mon</v>
      </c>
    </row>
    <row r="195" spans="1:10" x14ac:dyDescent="0.3">
      <c r="A195" t="s">
        <v>66</v>
      </c>
      <c r="B195" t="s">
        <v>67</v>
      </c>
      <c r="C195" t="s">
        <v>37</v>
      </c>
      <c r="D195">
        <v>815</v>
      </c>
      <c r="E195" s="2">
        <v>167.44</v>
      </c>
      <c r="F195" s="1">
        <v>45928</v>
      </c>
      <c r="G195" s="2">
        <v>136463.6</v>
      </c>
      <c r="H195">
        <f>MONTH(product_performance_data[[#This Row],[Date_Sold]])</f>
        <v>9</v>
      </c>
      <c r="I195">
        <f>YEAR(product_performance_data[[#This Row],[Date_Sold]])</f>
        <v>2025</v>
      </c>
      <c r="J195" t="str">
        <f>TEXT(product_performance_data[[#This Row],[Date_Sold]],"ddd")</f>
        <v>Sun</v>
      </c>
    </row>
    <row r="196" spans="1:10" x14ac:dyDescent="0.3">
      <c r="A196" t="s">
        <v>972</v>
      </c>
      <c r="B196" t="s">
        <v>973</v>
      </c>
      <c r="C196" t="s">
        <v>30</v>
      </c>
      <c r="D196">
        <v>802</v>
      </c>
      <c r="E196">
        <v>169.74</v>
      </c>
      <c r="F196" s="1">
        <v>45059</v>
      </c>
      <c r="G196" s="2">
        <v>136131.48000000001</v>
      </c>
      <c r="H196">
        <f>MONTH(product_performance_data[[#This Row],[Date_Sold]])</f>
        <v>5</v>
      </c>
      <c r="I196">
        <f>YEAR(product_performance_data[[#This Row],[Date_Sold]])</f>
        <v>2023</v>
      </c>
      <c r="J196" t="str">
        <f>TEXT(product_performance_data[[#This Row],[Date_Sold]],"ddd")</f>
        <v>Sat</v>
      </c>
    </row>
    <row r="197" spans="1:10" x14ac:dyDescent="0.3">
      <c r="A197" t="s">
        <v>653</v>
      </c>
      <c r="B197" t="s">
        <v>654</v>
      </c>
      <c r="C197" t="s">
        <v>60</v>
      </c>
      <c r="D197">
        <v>780</v>
      </c>
      <c r="E197">
        <v>174.07</v>
      </c>
      <c r="F197" s="1">
        <v>45838</v>
      </c>
      <c r="G197" s="2">
        <v>135774.6</v>
      </c>
      <c r="H197">
        <f>MONTH(product_performance_data[[#This Row],[Date_Sold]])</f>
        <v>6</v>
      </c>
      <c r="I197">
        <f>YEAR(product_performance_data[[#This Row],[Date_Sold]])</f>
        <v>2025</v>
      </c>
      <c r="J197" t="str">
        <f>TEXT(product_performance_data[[#This Row],[Date_Sold]],"ddd")</f>
        <v>Mon</v>
      </c>
    </row>
    <row r="198" spans="1:10" x14ac:dyDescent="0.3">
      <c r="A198" t="s">
        <v>300</v>
      </c>
      <c r="B198" t="s">
        <v>301</v>
      </c>
      <c r="C198" t="s">
        <v>23</v>
      </c>
      <c r="D198">
        <v>684</v>
      </c>
      <c r="E198">
        <v>197.86</v>
      </c>
      <c r="F198" s="1">
        <v>45276</v>
      </c>
      <c r="G198" s="2">
        <v>135336.24000000002</v>
      </c>
      <c r="H198">
        <f>MONTH(product_performance_data[[#This Row],[Date_Sold]])</f>
        <v>12</v>
      </c>
      <c r="I198">
        <f>YEAR(product_performance_data[[#This Row],[Date_Sold]])</f>
        <v>2023</v>
      </c>
      <c r="J198" t="str">
        <f>TEXT(product_performance_data[[#This Row],[Date_Sold]],"ddd")</f>
        <v>Sat</v>
      </c>
    </row>
    <row r="199" spans="1:10" x14ac:dyDescent="0.3">
      <c r="A199" t="s">
        <v>418</v>
      </c>
      <c r="B199" t="s">
        <v>419</v>
      </c>
      <c r="C199" t="s">
        <v>12</v>
      </c>
      <c r="D199">
        <v>664</v>
      </c>
      <c r="E199">
        <v>203.11</v>
      </c>
      <c r="F199" s="1">
        <v>45219</v>
      </c>
      <c r="G199" s="2">
        <v>134865.04</v>
      </c>
      <c r="H199">
        <f>MONTH(product_performance_data[[#This Row],[Date_Sold]])</f>
        <v>10</v>
      </c>
      <c r="I199">
        <f>YEAR(product_performance_data[[#This Row],[Date_Sold]])</f>
        <v>2023</v>
      </c>
      <c r="J199" t="str">
        <f>TEXT(product_performance_data[[#This Row],[Date_Sold]],"ddd")</f>
        <v>Fri</v>
      </c>
    </row>
    <row r="200" spans="1:10" x14ac:dyDescent="0.3">
      <c r="A200" t="s">
        <v>807</v>
      </c>
      <c r="B200" t="s">
        <v>664</v>
      </c>
      <c r="C200" t="s">
        <v>12</v>
      </c>
      <c r="D200">
        <v>715</v>
      </c>
      <c r="E200">
        <v>185.85</v>
      </c>
      <c r="F200" s="1">
        <v>45727</v>
      </c>
      <c r="G200" s="2">
        <v>132882.75</v>
      </c>
      <c r="H200">
        <f>MONTH(product_performance_data[[#This Row],[Date_Sold]])</f>
        <v>3</v>
      </c>
      <c r="I200">
        <f>YEAR(product_performance_data[[#This Row],[Date_Sold]])</f>
        <v>2025</v>
      </c>
      <c r="J200" t="str">
        <f>TEXT(product_performance_data[[#This Row],[Date_Sold]],"ddd")</f>
        <v>Tue</v>
      </c>
    </row>
    <row r="201" spans="1:10" x14ac:dyDescent="0.3">
      <c r="A201" t="s">
        <v>370</v>
      </c>
      <c r="B201" t="s">
        <v>371</v>
      </c>
      <c r="C201" t="s">
        <v>23</v>
      </c>
      <c r="D201">
        <v>512</v>
      </c>
      <c r="E201">
        <v>259.10000000000002</v>
      </c>
      <c r="F201" s="1">
        <v>45605</v>
      </c>
      <c r="G201" s="2">
        <v>132659.20000000001</v>
      </c>
      <c r="H201">
        <f>MONTH(product_performance_data[[#This Row],[Date_Sold]])</f>
        <v>11</v>
      </c>
      <c r="I201">
        <f>YEAR(product_performance_data[[#This Row],[Date_Sold]])</f>
        <v>2024</v>
      </c>
      <c r="J201" t="str">
        <f>TEXT(product_performance_data[[#This Row],[Date_Sold]],"ddd")</f>
        <v>Sat</v>
      </c>
    </row>
    <row r="202" spans="1:10" x14ac:dyDescent="0.3">
      <c r="A202" t="s">
        <v>210</v>
      </c>
      <c r="B202" t="s">
        <v>211</v>
      </c>
      <c r="C202" t="s">
        <v>37</v>
      </c>
      <c r="D202">
        <v>411</v>
      </c>
      <c r="E202">
        <v>320.02</v>
      </c>
      <c r="F202" s="1">
        <v>45883</v>
      </c>
      <c r="G202" s="2">
        <v>131528.22</v>
      </c>
      <c r="H202">
        <f>MONTH(product_performance_data[[#This Row],[Date_Sold]])</f>
        <v>8</v>
      </c>
      <c r="I202">
        <f>YEAR(product_performance_data[[#This Row],[Date_Sold]])</f>
        <v>2025</v>
      </c>
      <c r="J202" t="str">
        <f>TEXT(product_performance_data[[#This Row],[Date_Sold]],"ddd")</f>
        <v>Thu</v>
      </c>
    </row>
    <row r="203" spans="1:10" x14ac:dyDescent="0.3">
      <c r="A203" t="s">
        <v>614</v>
      </c>
      <c r="B203" t="s">
        <v>615</v>
      </c>
      <c r="C203" t="s">
        <v>9</v>
      </c>
      <c r="D203">
        <v>410</v>
      </c>
      <c r="E203">
        <v>320.14</v>
      </c>
      <c r="F203" s="1">
        <v>45542</v>
      </c>
      <c r="G203" s="2">
        <v>131257.4</v>
      </c>
      <c r="H203">
        <f>MONTH(product_performance_data[[#This Row],[Date_Sold]])</f>
        <v>9</v>
      </c>
      <c r="I203">
        <f>YEAR(product_performance_data[[#This Row],[Date_Sold]])</f>
        <v>2024</v>
      </c>
      <c r="J203" t="str">
        <f>TEXT(product_performance_data[[#This Row],[Date_Sold]],"ddd")</f>
        <v>Sat</v>
      </c>
    </row>
    <row r="204" spans="1:10" x14ac:dyDescent="0.3">
      <c r="A204" t="s">
        <v>466</v>
      </c>
      <c r="B204" t="s">
        <v>467</v>
      </c>
      <c r="C204" t="s">
        <v>63</v>
      </c>
      <c r="D204">
        <v>649</v>
      </c>
      <c r="E204">
        <v>200.29</v>
      </c>
      <c r="F204" s="1">
        <v>45434</v>
      </c>
      <c r="G204" s="2">
        <v>129988.20999999999</v>
      </c>
      <c r="H204">
        <f>MONTH(product_performance_data[[#This Row],[Date_Sold]])</f>
        <v>5</v>
      </c>
      <c r="I204">
        <f>YEAR(product_performance_data[[#This Row],[Date_Sold]])</f>
        <v>2024</v>
      </c>
      <c r="J204" t="str">
        <f>TEXT(product_performance_data[[#This Row],[Date_Sold]],"ddd")</f>
        <v>Wed</v>
      </c>
    </row>
    <row r="205" spans="1:10" x14ac:dyDescent="0.3">
      <c r="A205" t="s">
        <v>458</v>
      </c>
      <c r="B205" t="s">
        <v>459</v>
      </c>
      <c r="C205" t="s">
        <v>9</v>
      </c>
      <c r="D205">
        <v>349</v>
      </c>
      <c r="E205">
        <v>369.86</v>
      </c>
      <c r="F205" s="1">
        <v>45347</v>
      </c>
      <c r="G205" s="2">
        <v>129081.14</v>
      </c>
      <c r="H205">
        <f>MONTH(product_performance_data[[#This Row],[Date_Sold]])</f>
        <v>2</v>
      </c>
      <c r="I205">
        <f>YEAR(product_performance_data[[#This Row],[Date_Sold]])</f>
        <v>2024</v>
      </c>
      <c r="J205" t="str">
        <f>TEXT(product_performance_data[[#This Row],[Date_Sold]],"ddd")</f>
        <v>Sun</v>
      </c>
    </row>
    <row r="206" spans="1:10" x14ac:dyDescent="0.3">
      <c r="A206" t="s">
        <v>777</v>
      </c>
      <c r="B206" t="s">
        <v>778</v>
      </c>
      <c r="C206" t="s">
        <v>9</v>
      </c>
      <c r="D206">
        <v>431</v>
      </c>
      <c r="E206">
        <v>294.18</v>
      </c>
      <c r="F206" s="1">
        <v>45312</v>
      </c>
      <c r="G206" s="2">
        <v>126791.58</v>
      </c>
      <c r="H206">
        <f>MONTH(product_performance_data[[#This Row],[Date_Sold]])</f>
        <v>1</v>
      </c>
      <c r="I206">
        <f>YEAR(product_performance_data[[#This Row],[Date_Sold]])</f>
        <v>2024</v>
      </c>
      <c r="J206" t="str">
        <f>TEXT(product_performance_data[[#This Row],[Date_Sold]],"ddd")</f>
        <v>Sun</v>
      </c>
    </row>
    <row r="207" spans="1:10" x14ac:dyDescent="0.3">
      <c r="A207" t="s">
        <v>242</v>
      </c>
      <c r="B207" t="s">
        <v>243</v>
      </c>
      <c r="C207" t="s">
        <v>63</v>
      </c>
      <c r="D207">
        <v>734</v>
      </c>
      <c r="E207">
        <v>171.59</v>
      </c>
      <c r="F207" s="1">
        <v>45784</v>
      </c>
      <c r="G207" s="2">
        <v>125947.06</v>
      </c>
      <c r="H207">
        <f>MONTH(product_performance_data[[#This Row],[Date_Sold]])</f>
        <v>5</v>
      </c>
      <c r="I207">
        <f>YEAR(product_performance_data[[#This Row],[Date_Sold]])</f>
        <v>2025</v>
      </c>
      <c r="J207" t="str">
        <f>TEXT(product_performance_data[[#This Row],[Date_Sold]],"ddd")</f>
        <v>Wed</v>
      </c>
    </row>
    <row r="208" spans="1:10" x14ac:dyDescent="0.3">
      <c r="A208" t="s">
        <v>74</v>
      </c>
      <c r="B208" t="s">
        <v>75</v>
      </c>
      <c r="C208" t="s">
        <v>12</v>
      </c>
      <c r="D208">
        <v>286</v>
      </c>
      <c r="E208" s="2">
        <v>430.9</v>
      </c>
      <c r="F208" s="1">
        <v>45482</v>
      </c>
      <c r="G208" s="2">
        <v>123237.4</v>
      </c>
      <c r="H208">
        <f>MONTH(product_performance_data[[#This Row],[Date_Sold]])</f>
        <v>7</v>
      </c>
      <c r="I208">
        <f>YEAR(product_performance_data[[#This Row],[Date_Sold]])</f>
        <v>2024</v>
      </c>
      <c r="J208" t="str">
        <f>TEXT(product_performance_data[[#This Row],[Date_Sold]],"ddd")</f>
        <v>Tue</v>
      </c>
    </row>
    <row r="209" spans="1:10" x14ac:dyDescent="0.3">
      <c r="A209" t="s">
        <v>529</v>
      </c>
      <c r="B209" t="s">
        <v>530</v>
      </c>
      <c r="C209" t="s">
        <v>23</v>
      </c>
      <c r="D209">
        <v>617</v>
      </c>
      <c r="E209">
        <v>199.53</v>
      </c>
      <c r="F209" s="1">
        <v>46015</v>
      </c>
      <c r="G209" s="2">
        <v>123110.01</v>
      </c>
      <c r="H209">
        <f>MONTH(product_performance_data[[#This Row],[Date_Sold]])</f>
        <v>12</v>
      </c>
      <c r="I209">
        <f>YEAR(product_performance_data[[#This Row],[Date_Sold]])</f>
        <v>2025</v>
      </c>
      <c r="J209" t="str">
        <f>TEXT(product_performance_data[[#This Row],[Date_Sold]],"ddd")</f>
        <v>Wed</v>
      </c>
    </row>
    <row r="210" spans="1:10" x14ac:dyDescent="0.3">
      <c r="A210" t="s">
        <v>450</v>
      </c>
      <c r="B210" t="s">
        <v>451</v>
      </c>
      <c r="C210" t="s">
        <v>63</v>
      </c>
      <c r="D210">
        <v>805</v>
      </c>
      <c r="E210">
        <v>150.77000000000001</v>
      </c>
      <c r="F210" s="1">
        <v>45130</v>
      </c>
      <c r="G210" s="2">
        <v>121369.85</v>
      </c>
      <c r="H210">
        <f>MONTH(product_performance_data[[#This Row],[Date_Sold]])</f>
        <v>7</v>
      </c>
      <c r="I210">
        <f>YEAR(product_performance_data[[#This Row],[Date_Sold]])</f>
        <v>2023</v>
      </c>
      <c r="J210" t="str">
        <f>TEXT(product_performance_data[[#This Row],[Date_Sold]],"ddd")</f>
        <v>Sun</v>
      </c>
    </row>
    <row r="211" spans="1:10" x14ac:dyDescent="0.3">
      <c r="A211" t="s">
        <v>88</v>
      </c>
      <c r="B211" t="s">
        <v>89</v>
      </c>
      <c r="C211" t="s">
        <v>9</v>
      </c>
      <c r="D211">
        <v>866</v>
      </c>
      <c r="E211" s="2">
        <v>139.41</v>
      </c>
      <c r="F211" s="1">
        <v>45490</v>
      </c>
      <c r="G211" s="2">
        <v>120729.06</v>
      </c>
      <c r="H211">
        <f>MONTH(product_performance_data[[#This Row],[Date_Sold]])</f>
        <v>7</v>
      </c>
      <c r="I211">
        <f>YEAR(product_performance_data[[#This Row],[Date_Sold]])</f>
        <v>2024</v>
      </c>
      <c r="J211" t="str">
        <f>TEXT(product_performance_data[[#This Row],[Date_Sold]],"ddd")</f>
        <v>Wed</v>
      </c>
    </row>
    <row r="212" spans="1:10" x14ac:dyDescent="0.3">
      <c r="A212" t="s">
        <v>749</v>
      </c>
      <c r="B212" t="s">
        <v>419</v>
      </c>
      <c r="C212" t="s">
        <v>37</v>
      </c>
      <c r="D212" s="8">
        <v>668</v>
      </c>
      <c r="E212">
        <v>180.3</v>
      </c>
      <c r="F212" s="1">
        <v>45652</v>
      </c>
      <c r="G212" s="2">
        <v>120440.40000000001</v>
      </c>
      <c r="H212">
        <f>MONTH(product_performance_data[[#This Row],[Date_Sold]])</f>
        <v>12</v>
      </c>
      <c r="I212">
        <f>YEAR(product_performance_data[[#This Row],[Date_Sold]])</f>
        <v>2024</v>
      </c>
      <c r="J212" t="str">
        <f>TEXT(product_performance_data[[#This Row],[Date_Sold]],"ddd")</f>
        <v>Thu</v>
      </c>
    </row>
    <row r="213" spans="1:10" x14ac:dyDescent="0.3">
      <c r="A213" t="s">
        <v>557</v>
      </c>
      <c r="B213" t="s">
        <v>558</v>
      </c>
      <c r="C213" t="s">
        <v>23</v>
      </c>
      <c r="D213">
        <v>622</v>
      </c>
      <c r="E213">
        <v>192.04</v>
      </c>
      <c r="F213" s="1">
        <v>45262</v>
      </c>
      <c r="G213" s="2">
        <v>119448.87999999999</v>
      </c>
      <c r="H213">
        <f>MONTH(product_performance_data[[#This Row],[Date_Sold]])</f>
        <v>12</v>
      </c>
      <c r="I213">
        <f>YEAR(product_performance_data[[#This Row],[Date_Sold]])</f>
        <v>2023</v>
      </c>
      <c r="J213" t="str">
        <f>TEXT(product_performance_data[[#This Row],[Date_Sold]],"ddd")</f>
        <v>Sat</v>
      </c>
    </row>
    <row r="214" spans="1:10" x14ac:dyDescent="0.3">
      <c r="A214" t="s">
        <v>374</v>
      </c>
      <c r="B214" t="s">
        <v>375</v>
      </c>
      <c r="C214" t="s">
        <v>37</v>
      </c>
      <c r="D214">
        <v>407</v>
      </c>
      <c r="E214">
        <v>292.75</v>
      </c>
      <c r="F214" s="1">
        <v>45423</v>
      </c>
      <c r="G214" s="2">
        <v>119149.25</v>
      </c>
      <c r="H214">
        <f>MONTH(product_performance_data[[#This Row],[Date_Sold]])</f>
        <v>5</v>
      </c>
      <c r="I214">
        <f>YEAR(product_performance_data[[#This Row],[Date_Sold]])</f>
        <v>2024</v>
      </c>
      <c r="J214" t="str">
        <f>TEXT(product_performance_data[[#This Row],[Date_Sold]],"ddd")</f>
        <v>Sat</v>
      </c>
    </row>
    <row r="215" spans="1:10" x14ac:dyDescent="0.3">
      <c r="A215" t="s">
        <v>248</v>
      </c>
      <c r="B215" t="s">
        <v>249</v>
      </c>
      <c r="C215" t="s">
        <v>37</v>
      </c>
      <c r="D215">
        <v>347</v>
      </c>
      <c r="E215" s="10">
        <v>342.4</v>
      </c>
      <c r="F215" s="1">
        <v>45625</v>
      </c>
      <c r="G215" s="2">
        <v>118812.79999999999</v>
      </c>
      <c r="H215">
        <f>MONTH(product_performance_data[[#This Row],[Date_Sold]])</f>
        <v>11</v>
      </c>
      <c r="I215">
        <f>YEAR(product_performance_data[[#This Row],[Date_Sold]])</f>
        <v>2024</v>
      </c>
      <c r="J215" t="str">
        <f>TEXT(product_performance_data[[#This Row],[Date_Sold]],"ddd")</f>
        <v>Fri</v>
      </c>
    </row>
    <row r="216" spans="1:10" x14ac:dyDescent="0.3">
      <c r="A216" t="s">
        <v>715</v>
      </c>
      <c r="B216" t="s">
        <v>716</v>
      </c>
      <c r="C216" t="s">
        <v>63</v>
      </c>
      <c r="D216">
        <v>272</v>
      </c>
      <c r="E216">
        <v>434.81</v>
      </c>
      <c r="F216" s="1">
        <v>45874</v>
      </c>
      <c r="G216" s="2">
        <v>118268.32</v>
      </c>
      <c r="H216">
        <f>MONTH(product_performance_data[[#This Row],[Date_Sold]])</f>
        <v>8</v>
      </c>
      <c r="I216">
        <f>YEAR(product_performance_data[[#This Row],[Date_Sold]])</f>
        <v>2025</v>
      </c>
      <c r="J216" t="str">
        <f>TEXT(product_performance_data[[#This Row],[Date_Sold]],"ddd")</f>
        <v>Tue</v>
      </c>
    </row>
    <row r="217" spans="1:10" x14ac:dyDescent="0.3">
      <c r="A217" t="s">
        <v>190</v>
      </c>
      <c r="B217" t="s">
        <v>191</v>
      </c>
      <c r="C217" t="s">
        <v>37</v>
      </c>
      <c r="D217">
        <v>881</v>
      </c>
      <c r="E217">
        <v>134.13999999999999</v>
      </c>
      <c r="F217" s="1">
        <v>45270</v>
      </c>
      <c r="G217" s="2">
        <v>118177.33999999998</v>
      </c>
      <c r="H217">
        <f>MONTH(product_performance_data[[#This Row],[Date_Sold]])</f>
        <v>12</v>
      </c>
      <c r="I217">
        <f>YEAR(product_performance_data[[#This Row],[Date_Sold]])</f>
        <v>2023</v>
      </c>
      <c r="J217" t="str">
        <f>TEXT(product_performance_data[[#This Row],[Date_Sold]],"ddd")</f>
        <v>Sun</v>
      </c>
    </row>
    <row r="218" spans="1:10" x14ac:dyDescent="0.3">
      <c r="A218" t="s">
        <v>426</v>
      </c>
      <c r="B218" t="s">
        <v>427</v>
      </c>
      <c r="C218" t="s">
        <v>23</v>
      </c>
      <c r="D218">
        <v>534</v>
      </c>
      <c r="E218">
        <v>220.99</v>
      </c>
      <c r="F218" s="1">
        <v>45121</v>
      </c>
      <c r="G218" s="2">
        <v>118008.66</v>
      </c>
      <c r="H218">
        <f>MONTH(product_performance_data[[#This Row],[Date_Sold]])</f>
        <v>7</v>
      </c>
      <c r="I218">
        <f>YEAR(product_performance_data[[#This Row],[Date_Sold]])</f>
        <v>2023</v>
      </c>
      <c r="J218" t="str">
        <f>TEXT(product_performance_data[[#This Row],[Date_Sold]],"ddd")</f>
        <v>Fri</v>
      </c>
    </row>
    <row r="219" spans="1:10" x14ac:dyDescent="0.3">
      <c r="A219" t="s">
        <v>402</v>
      </c>
      <c r="B219" t="s">
        <v>403</v>
      </c>
      <c r="C219" t="s">
        <v>9</v>
      </c>
      <c r="D219">
        <v>573</v>
      </c>
      <c r="E219">
        <v>205.58</v>
      </c>
      <c r="F219" s="1">
        <v>45794</v>
      </c>
      <c r="G219" s="2">
        <v>117797.34000000001</v>
      </c>
      <c r="H219">
        <f>MONTH(product_performance_data[[#This Row],[Date_Sold]])</f>
        <v>5</v>
      </c>
      <c r="I219">
        <f>YEAR(product_performance_data[[#This Row],[Date_Sold]])</f>
        <v>2025</v>
      </c>
      <c r="J219" t="str">
        <f>TEXT(product_performance_data[[#This Row],[Date_Sold]],"ddd")</f>
        <v>Sat</v>
      </c>
    </row>
    <row r="220" spans="1:10" x14ac:dyDescent="0.3">
      <c r="A220" t="s">
        <v>552</v>
      </c>
      <c r="B220" t="s">
        <v>467</v>
      </c>
      <c r="C220" t="s">
        <v>12</v>
      </c>
      <c r="D220">
        <v>395</v>
      </c>
      <c r="E220">
        <v>294.64999999999998</v>
      </c>
      <c r="F220" s="1">
        <v>45057</v>
      </c>
      <c r="G220" s="2">
        <v>116386.74999999999</v>
      </c>
      <c r="H220">
        <f>MONTH(product_performance_data[[#This Row],[Date_Sold]])</f>
        <v>5</v>
      </c>
      <c r="I220">
        <f>YEAR(product_performance_data[[#This Row],[Date_Sold]])</f>
        <v>2023</v>
      </c>
      <c r="J220" t="str">
        <f>TEXT(product_performance_data[[#This Row],[Date_Sold]],"ddd")</f>
        <v>Thu</v>
      </c>
    </row>
    <row r="221" spans="1:10" x14ac:dyDescent="0.3">
      <c r="A221" t="s">
        <v>222</v>
      </c>
      <c r="B221" t="s">
        <v>223</v>
      </c>
      <c r="C221" t="s">
        <v>30</v>
      </c>
      <c r="D221">
        <v>279</v>
      </c>
      <c r="E221">
        <v>411.22</v>
      </c>
      <c r="F221" s="1">
        <v>45285</v>
      </c>
      <c r="G221" s="2">
        <v>114730.38</v>
      </c>
      <c r="H221">
        <f>MONTH(product_performance_data[[#This Row],[Date_Sold]])</f>
        <v>12</v>
      </c>
      <c r="I221">
        <f>YEAR(product_performance_data[[#This Row],[Date_Sold]])</f>
        <v>2023</v>
      </c>
      <c r="J221" t="str">
        <f>TEXT(product_performance_data[[#This Row],[Date_Sold]],"ddd")</f>
        <v>Mon</v>
      </c>
    </row>
    <row r="222" spans="1:10" x14ac:dyDescent="0.3">
      <c r="A222" t="s">
        <v>771</v>
      </c>
      <c r="B222" t="s">
        <v>772</v>
      </c>
      <c r="C222" t="s">
        <v>63</v>
      </c>
      <c r="D222">
        <v>634</v>
      </c>
      <c r="E222">
        <v>180.78</v>
      </c>
      <c r="F222" s="1">
        <v>45803</v>
      </c>
      <c r="G222" s="2">
        <v>114614.52</v>
      </c>
      <c r="H222">
        <f>MONTH(product_performance_data[[#This Row],[Date_Sold]])</f>
        <v>5</v>
      </c>
      <c r="I222">
        <f>YEAR(product_performance_data[[#This Row],[Date_Sold]])</f>
        <v>2025</v>
      </c>
      <c r="J222" t="str">
        <f>TEXT(product_performance_data[[#This Row],[Date_Sold]],"ddd")</f>
        <v>Mon</v>
      </c>
    </row>
    <row r="223" spans="1:10" x14ac:dyDescent="0.3">
      <c r="A223" t="s">
        <v>118</v>
      </c>
      <c r="B223" t="s">
        <v>119</v>
      </c>
      <c r="C223" t="s">
        <v>30</v>
      </c>
      <c r="D223">
        <v>885</v>
      </c>
      <c r="E223">
        <v>129.18</v>
      </c>
      <c r="F223" s="1">
        <v>45688</v>
      </c>
      <c r="G223" s="2">
        <v>114324.3</v>
      </c>
      <c r="H223">
        <f>MONTH(product_performance_data[[#This Row],[Date_Sold]])</f>
        <v>1</v>
      </c>
      <c r="I223">
        <f>YEAR(product_performance_data[[#This Row],[Date_Sold]])</f>
        <v>2025</v>
      </c>
      <c r="J223" t="str">
        <f>TEXT(product_performance_data[[#This Row],[Date_Sold]],"ddd")</f>
        <v>Fri</v>
      </c>
    </row>
    <row r="224" spans="1:10" x14ac:dyDescent="0.3">
      <c r="A224" t="s">
        <v>731</v>
      </c>
      <c r="B224" t="s">
        <v>732</v>
      </c>
      <c r="C224" t="s">
        <v>12</v>
      </c>
      <c r="D224">
        <v>313</v>
      </c>
      <c r="E224">
        <v>361.66</v>
      </c>
      <c r="F224" s="1">
        <v>45349</v>
      </c>
      <c r="G224" s="2">
        <v>113199.58</v>
      </c>
      <c r="H224">
        <f>MONTH(product_performance_data[[#This Row],[Date_Sold]])</f>
        <v>2</v>
      </c>
      <c r="I224">
        <f>YEAR(product_performance_data[[#This Row],[Date_Sold]])</f>
        <v>2024</v>
      </c>
      <c r="J224" t="str">
        <f>TEXT(product_performance_data[[#This Row],[Date_Sold]],"ddd")</f>
        <v>Tue</v>
      </c>
    </row>
    <row r="225" spans="1:10" x14ac:dyDescent="0.3">
      <c r="A225" t="s">
        <v>92</v>
      </c>
      <c r="B225" t="s">
        <v>93</v>
      </c>
      <c r="C225" t="s">
        <v>37</v>
      </c>
      <c r="D225">
        <v>484</v>
      </c>
      <c r="E225" s="2">
        <v>231.35</v>
      </c>
      <c r="F225" s="1">
        <v>45886</v>
      </c>
      <c r="G225" s="2">
        <v>111973.4</v>
      </c>
      <c r="H225">
        <f>MONTH(product_performance_data[[#This Row],[Date_Sold]])</f>
        <v>8</v>
      </c>
      <c r="I225">
        <f>YEAR(product_performance_data[[#This Row],[Date_Sold]])</f>
        <v>2025</v>
      </c>
      <c r="J225" t="str">
        <f>TEXT(product_performance_data[[#This Row],[Date_Sold]],"ddd")</f>
        <v>Sun</v>
      </c>
    </row>
    <row r="226" spans="1:10" x14ac:dyDescent="0.3">
      <c r="A226" t="s">
        <v>765</v>
      </c>
      <c r="B226" t="s">
        <v>766</v>
      </c>
      <c r="C226" t="s">
        <v>23</v>
      </c>
      <c r="D226">
        <v>929</v>
      </c>
      <c r="E226">
        <v>120.44</v>
      </c>
      <c r="F226" s="1">
        <v>45516</v>
      </c>
      <c r="G226" s="2">
        <v>111888.76</v>
      </c>
      <c r="H226">
        <f>MONTH(product_performance_data[[#This Row],[Date_Sold]])</f>
        <v>8</v>
      </c>
      <c r="I226">
        <f>YEAR(product_performance_data[[#This Row],[Date_Sold]])</f>
        <v>2024</v>
      </c>
      <c r="J226" t="str">
        <f>TEXT(product_performance_data[[#This Row],[Date_Sold]],"ddd")</f>
        <v>Mon</v>
      </c>
    </row>
    <row r="227" spans="1:10" x14ac:dyDescent="0.3">
      <c r="A227" t="s">
        <v>767</v>
      </c>
      <c r="B227" t="s">
        <v>768</v>
      </c>
      <c r="C227" t="s">
        <v>12</v>
      </c>
      <c r="D227">
        <v>637</v>
      </c>
      <c r="E227">
        <v>174.75</v>
      </c>
      <c r="F227" s="1">
        <v>45431</v>
      </c>
      <c r="G227" s="2">
        <v>111315.75</v>
      </c>
      <c r="H227">
        <f>MONTH(product_performance_data[[#This Row],[Date_Sold]])</f>
        <v>5</v>
      </c>
      <c r="I227">
        <f>YEAR(product_performance_data[[#This Row],[Date_Sold]])</f>
        <v>2024</v>
      </c>
      <c r="J227" t="str">
        <f>TEXT(product_performance_data[[#This Row],[Date_Sold]],"ddd")</f>
        <v>Sun</v>
      </c>
    </row>
    <row r="228" spans="1:10" x14ac:dyDescent="0.3">
      <c r="A228" t="s">
        <v>61</v>
      </c>
      <c r="B228" t="s">
        <v>62</v>
      </c>
      <c r="C228" t="s">
        <v>63</v>
      </c>
      <c r="D228">
        <v>501</v>
      </c>
      <c r="E228" s="2">
        <v>222.04</v>
      </c>
      <c r="F228" s="1">
        <v>45429</v>
      </c>
      <c r="G228" s="2">
        <v>111242.04</v>
      </c>
      <c r="H228">
        <f>MONTH(product_performance_data[[#This Row],[Date_Sold]])</f>
        <v>5</v>
      </c>
      <c r="I228">
        <f>YEAR(product_performance_data[[#This Row],[Date_Sold]])</f>
        <v>2024</v>
      </c>
      <c r="J228" t="str">
        <f>TEXT(product_performance_data[[#This Row],[Date_Sold]],"ddd")</f>
        <v>Fri</v>
      </c>
    </row>
    <row r="229" spans="1:10" x14ac:dyDescent="0.3">
      <c r="A229" t="s">
        <v>895</v>
      </c>
      <c r="B229" t="s">
        <v>896</v>
      </c>
      <c r="C229" t="s">
        <v>30</v>
      </c>
      <c r="D229">
        <v>462</v>
      </c>
      <c r="E229">
        <v>239.22</v>
      </c>
      <c r="F229" s="1">
        <v>45623</v>
      </c>
      <c r="G229" s="2">
        <v>110519.64</v>
      </c>
      <c r="H229">
        <f>MONTH(product_performance_data[[#This Row],[Date_Sold]])</f>
        <v>11</v>
      </c>
      <c r="I229">
        <f>YEAR(product_performance_data[[#This Row],[Date_Sold]])</f>
        <v>2024</v>
      </c>
      <c r="J229" t="str">
        <f>TEXT(product_performance_data[[#This Row],[Date_Sold]],"ddd")</f>
        <v>Wed</v>
      </c>
    </row>
    <row r="230" spans="1:10" x14ac:dyDescent="0.3">
      <c r="A230" t="s">
        <v>456</v>
      </c>
      <c r="B230" t="s">
        <v>457</v>
      </c>
      <c r="C230" t="s">
        <v>12</v>
      </c>
      <c r="D230">
        <v>565</v>
      </c>
      <c r="E230">
        <v>195.18</v>
      </c>
      <c r="F230" s="1">
        <v>45120</v>
      </c>
      <c r="G230" s="2">
        <v>110276.7</v>
      </c>
      <c r="H230">
        <f>MONTH(product_performance_data[[#This Row],[Date_Sold]])</f>
        <v>7</v>
      </c>
      <c r="I230">
        <f>YEAR(product_performance_data[[#This Row],[Date_Sold]])</f>
        <v>2023</v>
      </c>
      <c r="J230" t="str">
        <f>TEXT(product_performance_data[[#This Row],[Date_Sold]],"ddd")</f>
        <v>Thu</v>
      </c>
    </row>
    <row r="231" spans="1:10" x14ac:dyDescent="0.3">
      <c r="A231" t="s">
        <v>707</v>
      </c>
      <c r="B231" t="s">
        <v>708</v>
      </c>
      <c r="C231" t="s">
        <v>12</v>
      </c>
      <c r="D231">
        <v>424</v>
      </c>
      <c r="E231">
        <v>258.27</v>
      </c>
      <c r="F231" s="1">
        <v>45424</v>
      </c>
      <c r="G231" s="2">
        <v>109506.48</v>
      </c>
      <c r="H231">
        <f>MONTH(product_performance_data[[#This Row],[Date_Sold]])</f>
        <v>5</v>
      </c>
      <c r="I231">
        <f>YEAR(product_performance_data[[#This Row],[Date_Sold]])</f>
        <v>2024</v>
      </c>
      <c r="J231" t="str">
        <f>TEXT(product_performance_data[[#This Row],[Date_Sold]],"ddd")</f>
        <v>Sun</v>
      </c>
    </row>
    <row r="232" spans="1:10" x14ac:dyDescent="0.3">
      <c r="A232" t="s">
        <v>278</v>
      </c>
      <c r="B232" t="s">
        <v>279</v>
      </c>
      <c r="C232" t="s">
        <v>12</v>
      </c>
      <c r="D232">
        <v>848</v>
      </c>
      <c r="E232">
        <v>128.76</v>
      </c>
      <c r="F232" s="1">
        <v>45798</v>
      </c>
      <c r="G232" s="2">
        <v>109188.48</v>
      </c>
      <c r="H232">
        <f>MONTH(product_performance_data[[#This Row],[Date_Sold]])</f>
        <v>5</v>
      </c>
      <c r="I232">
        <f>YEAR(product_performance_data[[#This Row],[Date_Sold]])</f>
        <v>2025</v>
      </c>
      <c r="J232" t="str">
        <f>TEXT(product_performance_data[[#This Row],[Date_Sold]],"ddd")</f>
        <v>Wed</v>
      </c>
    </row>
    <row r="233" spans="1:10" x14ac:dyDescent="0.3">
      <c r="A233" t="s">
        <v>669</v>
      </c>
      <c r="B233" t="s">
        <v>670</v>
      </c>
      <c r="C233" t="s">
        <v>63</v>
      </c>
      <c r="D233">
        <v>520</v>
      </c>
      <c r="E233">
        <v>208.77</v>
      </c>
      <c r="F233" s="1">
        <v>45746</v>
      </c>
      <c r="G233" s="2">
        <v>108560.40000000001</v>
      </c>
      <c r="H233">
        <f>MONTH(product_performance_data[[#This Row],[Date_Sold]])</f>
        <v>3</v>
      </c>
      <c r="I233">
        <f>YEAR(product_performance_data[[#This Row],[Date_Sold]])</f>
        <v>2025</v>
      </c>
      <c r="J233" t="str">
        <f>TEXT(product_performance_data[[#This Row],[Date_Sold]],"ddd")</f>
        <v>Sun</v>
      </c>
    </row>
    <row r="234" spans="1:10" x14ac:dyDescent="0.3">
      <c r="A234" t="s">
        <v>725</v>
      </c>
      <c r="B234" t="s">
        <v>726</v>
      </c>
      <c r="C234" t="s">
        <v>30</v>
      </c>
      <c r="D234">
        <v>890</v>
      </c>
      <c r="E234">
        <v>121.88</v>
      </c>
      <c r="F234" s="1">
        <v>45929</v>
      </c>
      <c r="G234" s="2">
        <v>108473.2</v>
      </c>
      <c r="H234">
        <f>MONTH(product_performance_data[[#This Row],[Date_Sold]])</f>
        <v>9</v>
      </c>
      <c r="I234">
        <f>YEAR(product_performance_data[[#This Row],[Date_Sold]])</f>
        <v>2025</v>
      </c>
      <c r="J234" t="str">
        <f>TEXT(product_performance_data[[#This Row],[Date_Sold]],"ddd")</f>
        <v>Mon</v>
      </c>
    </row>
    <row r="235" spans="1:10" x14ac:dyDescent="0.3">
      <c r="A235" t="s">
        <v>916</v>
      </c>
      <c r="B235" t="s">
        <v>917</v>
      </c>
      <c r="C235" t="s">
        <v>12</v>
      </c>
      <c r="D235">
        <v>229</v>
      </c>
      <c r="E235">
        <v>463.59</v>
      </c>
      <c r="F235" s="1">
        <v>45993</v>
      </c>
      <c r="G235" s="2">
        <v>106162.11</v>
      </c>
      <c r="H235">
        <f>MONTH(product_performance_data[[#This Row],[Date_Sold]])</f>
        <v>12</v>
      </c>
      <c r="I235">
        <f>YEAR(product_performance_data[[#This Row],[Date_Sold]])</f>
        <v>2025</v>
      </c>
      <c r="J235" t="str">
        <f>TEXT(product_performance_data[[#This Row],[Date_Sold]],"ddd")</f>
        <v>Tue</v>
      </c>
    </row>
    <row r="236" spans="1:10" x14ac:dyDescent="0.3">
      <c r="A236" t="s">
        <v>620</v>
      </c>
      <c r="B236" t="s">
        <v>621</v>
      </c>
      <c r="C236" t="s">
        <v>63</v>
      </c>
      <c r="D236">
        <v>289</v>
      </c>
      <c r="E236">
        <v>364.57</v>
      </c>
      <c r="F236" s="1">
        <v>45364</v>
      </c>
      <c r="G236" s="2">
        <v>105360.73</v>
      </c>
      <c r="H236">
        <f>MONTH(product_performance_data[[#This Row],[Date_Sold]])</f>
        <v>3</v>
      </c>
      <c r="I236">
        <f>YEAR(product_performance_data[[#This Row],[Date_Sold]])</f>
        <v>2024</v>
      </c>
      <c r="J236" t="str">
        <f>TEXT(product_performance_data[[#This Row],[Date_Sold]],"ddd")</f>
        <v>Wed</v>
      </c>
    </row>
    <row r="237" spans="1:10" x14ac:dyDescent="0.3">
      <c r="A237" t="s">
        <v>651</v>
      </c>
      <c r="B237" t="s">
        <v>652</v>
      </c>
      <c r="C237" t="s">
        <v>63</v>
      </c>
      <c r="D237">
        <v>358</v>
      </c>
      <c r="E237">
        <v>291.93</v>
      </c>
      <c r="F237" s="1">
        <v>45291</v>
      </c>
      <c r="G237" s="2">
        <v>104510.94</v>
      </c>
      <c r="H237">
        <f>MONTH(product_performance_data[[#This Row],[Date_Sold]])</f>
        <v>12</v>
      </c>
      <c r="I237">
        <f>YEAR(product_performance_data[[#This Row],[Date_Sold]])</f>
        <v>2023</v>
      </c>
      <c r="J237" t="str">
        <f>TEXT(product_performance_data[[#This Row],[Date_Sold]],"ddd")</f>
        <v>Sun</v>
      </c>
    </row>
    <row r="238" spans="1:10" x14ac:dyDescent="0.3">
      <c r="A238" t="s">
        <v>775</v>
      </c>
      <c r="B238" t="s">
        <v>776</v>
      </c>
      <c r="C238" t="s">
        <v>63</v>
      </c>
      <c r="D238">
        <v>429</v>
      </c>
      <c r="E238">
        <v>242.39</v>
      </c>
      <c r="F238" s="1">
        <v>44966</v>
      </c>
      <c r="G238" s="2">
        <v>103985.31</v>
      </c>
      <c r="H238">
        <f>MONTH(product_performance_data[[#This Row],[Date_Sold]])</f>
        <v>2</v>
      </c>
      <c r="I238">
        <f>YEAR(product_performance_data[[#This Row],[Date_Sold]])</f>
        <v>2023</v>
      </c>
      <c r="J238" t="str">
        <f>TEXT(product_performance_data[[#This Row],[Date_Sold]],"ddd")</f>
        <v>Thu</v>
      </c>
    </row>
    <row r="239" spans="1:10" x14ac:dyDescent="0.3">
      <c r="A239" t="s">
        <v>144</v>
      </c>
      <c r="B239" t="s">
        <v>145</v>
      </c>
      <c r="C239" t="s">
        <v>63</v>
      </c>
      <c r="D239">
        <v>397</v>
      </c>
      <c r="E239">
        <v>260.76</v>
      </c>
      <c r="F239" s="1">
        <v>45850</v>
      </c>
      <c r="G239" s="2">
        <v>103521.72</v>
      </c>
      <c r="H239">
        <f>MONTH(product_performance_data[[#This Row],[Date_Sold]])</f>
        <v>7</v>
      </c>
      <c r="I239">
        <f>YEAR(product_performance_data[[#This Row],[Date_Sold]])</f>
        <v>2025</v>
      </c>
      <c r="J239" t="str">
        <f>TEXT(product_performance_data[[#This Row],[Date_Sold]],"ddd")</f>
        <v>Sat</v>
      </c>
    </row>
    <row r="240" spans="1:10" x14ac:dyDescent="0.3">
      <c r="A240" t="s">
        <v>58</v>
      </c>
      <c r="B240" t="s">
        <v>59</v>
      </c>
      <c r="C240" t="s">
        <v>60</v>
      </c>
      <c r="D240">
        <v>353</v>
      </c>
      <c r="E240" s="2">
        <v>291.54000000000002</v>
      </c>
      <c r="F240" s="1">
        <v>45736</v>
      </c>
      <c r="G240" s="2">
        <v>102913.62000000001</v>
      </c>
      <c r="H240">
        <f>MONTH(product_performance_data[[#This Row],[Date_Sold]])</f>
        <v>3</v>
      </c>
      <c r="I240">
        <f>YEAR(product_performance_data[[#This Row],[Date_Sold]])</f>
        <v>2025</v>
      </c>
      <c r="J240" t="str">
        <f>TEXT(product_performance_data[[#This Row],[Date_Sold]],"ddd")</f>
        <v>Thu</v>
      </c>
    </row>
    <row r="241" spans="1:10" x14ac:dyDescent="0.3">
      <c r="A241" t="s">
        <v>511</v>
      </c>
      <c r="B241" t="s">
        <v>512</v>
      </c>
      <c r="C241" t="s">
        <v>9</v>
      </c>
      <c r="D241" s="8">
        <v>234</v>
      </c>
      <c r="E241">
        <v>438.95</v>
      </c>
      <c r="F241" s="1">
        <v>45450</v>
      </c>
      <c r="G241" s="2">
        <v>102714.3</v>
      </c>
      <c r="H241">
        <f>MONTH(product_performance_data[[#This Row],[Date_Sold]])</f>
        <v>6</v>
      </c>
      <c r="I241">
        <f>YEAR(product_performance_data[[#This Row],[Date_Sold]])</f>
        <v>2024</v>
      </c>
      <c r="J241" t="str">
        <f>TEXT(product_performance_data[[#This Row],[Date_Sold]],"ddd")</f>
        <v>Fri</v>
      </c>
    </row>
    <row r="242" spans="1:10" x14ac:dyDescent="0.3">
      <c r="A242" t="s">
        <v>850</v>
      </c>
      <c r="B242" t="s">
        <v>851</v>
      </c>
      <c r="C242" t="s">
        <v>37</v>
      </c>
      <c r="D242">
        <v>964</v>
      </c>
      <c r="E242">
        <v>106.51</v>
      </c>
      <c r="F242" s="1">
        <v>45773</v>
      </c>
      <c r="G242" s="2">
        <v>102675.64</v>
      </c>
      <c r="H242">
        <f>MONTH(product_performance_data[[#This Row],[Date_Sold]])</f>
        <v>4</v>
      </c>
      <c r="I242">
        <f>YEAR(product_performance_data[[#This Row],[Date_Sold]])</f>
        <v>2025</v>
      </c>
      <c r="J242" t="str">
        <f>TEXT(product_performance_data[[#This Row],[Date_Sold]],"ddd")</f>
        <v>Sat</v>
      </c>
    </row>
    <row r="243" spans="1:10" x14ac:dyDescent="0.3">
      <c r="A243" t="s">
        <v>561</v>
      </c>
      <c r="B243" t="s">
        <v>562</v>
      </c>
      <c r="C243" t="s">
        <v>9</v>
      </c>
      <c r="D243">
        <v>961</v>
      </c>
      <c r="E243">
        <v>106.5</v>
      </c>
      <c r="F243" s="1">
        <v>45033</v>
      </c>
      <c r="G243" s="2">
        <v>102346.5</v>
      </c>
      <c r="H243">
        <f>MONTH(product_performance_data[[#This Row],[Date_Sold]])</f>
        <v>4</v>
      </c>
      <c r="I243">
        <f>YEAR(product_performance_data[[#This Row],[Date_Sold]])</f>
        <v>2023</v>
      </c>
      <c r="J243" t="str">
        <f>TEXT(product_performance_data[[#This Row],[Date_Sold]],"ddd")</f>
        <v>Mon</v>
      </c>
    </row>
    <row r="244" spans="1:10" x14ac:dyDescent="0.3">
      <c r="A244" t="s">
        <v>360</v>
      </c>
      <c r="B244" t="s">
        <v>361</v>
      </c>
      <c r="C244" t="s">
        <v>12</v>
      </c>
      <c r="D244">
        <v>471</v>
      </c>
      <c r="E244">
        <v>215.92</v>
      </c>
      <c r="F244" s="1">
        <v>45122</v>
      </c>
      <c r="G244" s="2">
        <v>101698.31999999999</v>
      </c>
      <c r="H244">
        <f>MONTH(product_performance_data[[#This Row],[Date_Sold]])</f>
        <v>7</v>
      </c>
      <c r="I244">
        <f>YEAR(product_performance_data[[#This Row],[Date_Sold]])</f>
        <v>2023</v>
      </c>
      <c r="J244" t="str">
        <f>TEXT(product_performance_data[[#This Row],[Date_Sold]],"ddd")</f>
        <v>Sat</v>
      </c>
    </row>
    <row r="245" spans="1:10" x14ac:dyDescent="0.3">
      <c r="A245" t="s">
        <v>196</v>
      </c>
      <c r="B245" t="s">
        <v>197</v>
      </c>
      <c r="C245" t="s">
        <v>63</v>
      </c>
      <c r="D245">
        <v>399</v>
      </c>
      <c r="E245">
        <v>253.01</v>
      </c>
      <c r="F245" s="1">
        <v>45124</v>
      </c>
      <c r="G245" s="2">
        <v>100950.98999999999</v>
      </c>
      <c r="H245">
        <f>MONTH(product_performance_data[[#This Row],[Date_Sold]])</f>
        <v>7</v>
      </c>
      <c r="I245">
        <f>YEAR(product_performance_data[[#This Row],[Date_Sold]])</f>
        <v>2023</v>
      </c>
      <c r="J245" t="str">
        <f>TEXT(product_performance_data[[#This Row],[Date_Sold]],"ddd")</f>
        <v>Mon</v>
      </c>
    </row>
    <row r="246" spans="1:10" x14ac:dyDescent="0.3">
      <c r="A246" t="s">
        <v>298</v>
      </c>
      <c r="B246" t="s">
        <v>299</v>
      </c>
      <c r="C246" t="s">
        <v>30</v>
      </c>
      <c r="D246">
        <v>401</v>
      </c>
      <c r="E246">
        <v>250.8</v>
      </c>
      <c r="F246" s="1">
        <v>45037</v>
      </c>
      <c r="G246" s="2">
        <v>100570.8</v>
      </c>
      <c r="H246">
        <f>MONTH(product_performance_data[[#This Row],[Date_Sold]])</f>
        <v>4</v>
      </c>
      <c r="I246">
        <f>YEAR(product_performance_data[[#This Row],[Date_Sold]])</f>
        <v>2023</v>
      </c>
      <c r="J246" t="str">
        <f>TEXT(product_performance_data[[#This Row],[Date_Sold]],"ddd")</f>
        <v>Fri</v>
      </c>
    </row>
    <row r="247" spans="1:10" x14ac:dyDescent="0.3">
      <c r="A247" t="s">
        <v>565</v>
      </c>
      <c r="B247" t="s">
        <v>516</v>
      </c>
      <c r="C247" t="s">
        <v>37</v>
      </c>
      <c r="D247">
        <v>708</v>
      </c>
      <c r="E247">
        <v>140.99</v>
      </c>
      <c r="F247" s="1">
        <v>45800</v>
      </c>
      <c r="G247" s="2">
        <v>99820.920000000013</v>
      </c>
      <c r="H247">
        <f>MONTH(product_performance_data[[#This Row],[Date_Sold]])</f>
        <v>5</v>
      </c>
      <c r="I247">
        <f>YEAR(product_performance_data[[#This Row],[Date_Sold]])</f>
        <v>2025</v>
      </c>
      <c r="J247" t="str">
        <f>TEXT(product_performance_data[[#This Row],[Date_Sold]],"ddd")</f>
        <v>Fri</v>
      </c>
    </row>
    <row r="248" spans="1:10" x14ac:dyDescent="0.3">
      <c r="A248" t="s">
        <v>70</v>
      </c>
      <c r="B248" t="s">
        <v>71</v>
      </c>
      <c r="C248" t="s">
        <v>23</v>
      </c>
      <c r="D248">
        <v>201</v>
      </c>
      <c r="E248" s="2">
        <v>491.01</v>
      </c>
      <c r="F248" s="1">
        <v>45018</v>
      </c>
      <c r="G248" s="2">
        <v>98693.01</v>
      </c>
      <c r="H248">
        <f>MONTH(product_performance_data[[#This Row],[Date_Sold]])</f>
        <v>4</v>
      </c>
      <c r="I248">
        <f>YEAR(product_performance_data[[#This Row],[Date_Sold]])</f>
        <v>2023</v>
      </c>
      <c r="J248" t="str">
        <f>TEXT(product_performance_data[[#This Row],[Date_Sold]],"ddd")</f>
        <v>Sun</v>
      </c>
    </row>
    <row r="249" spans="1:10" x14ac:dyDescent="0.3">
      <c r="A249" t="s">
        <v>382</v>
      </c>
      <c r="B249" t="s">
        <v>39</v>
      </c>
      <c r="C249" t="s">
        <v>12</v>
      </c>
      <c r="D249">
        <v>216</v>
      </c>
      <c r="E249">
        <v>454.31</v>
      </c>
      <c r="F249" s="1">
        <v>44942</v>
      </c>
      <c r="G249" s="2">
        <v>98130.96</v>
      </c>
      <c r="H249">
        <f>MONTH(product_performance_data[[#This Row],[Date_Sold]])</f>
        <v>1</v>
      </c>
      <c r="I249">
        <f>YEAR(product_performance_data[[#This Row],[Date_Sold]])</f>
        <v>2023</v>
      </c>
      <c r="J249" t="str">
        <f>TEXT(product_performance_data[[#This Row],[Date_Sold]],"ddd")</f>
        <v>Mon</v>
      </c>
    </row>
    <row r="250" spans="1:10" x14ac:dyDescent="0.3">
      <c r="A250" t="s">
        <v>294</v>
      </c>
      <c r="B250" t="s">
        <v>295</v>
      </c>
      <c r="C250" t="s">
        <v>63</v>
      </c>
      <c r="D250">
        <v>508</v>
      </c>
      <c r="E250">
        <v>191.98</v>
      </c>
      <c r="F250" s="1">
        <v>45691</v>
      </c>
      <c r="G250" s="2">
        <v>97525.84</v>
      </c>
      <c r="H250">
        <f>MONTH(product_performance_data[[#This Row],[Date_Sold]])</f>
        <v>2</v>
      </c>
      <c r="I250">
        <f>YEAR(product_performance_data[[#This Row],[Date_Sold]])</f>
        <v>2025</v>
      </c>
      <c r="J250" t="str">
        <f>TEXT(product_performance_data[[#This Row],[Date_Sold]],"ddd")</f>
        <v>Mon</v>
      </c>
    </row>
    <row r="251" spans="1:10" x14ac:dyDescent="0.3">
      <c r="A251" t="s">
        <v>678</v>
      </c>
      <c r="B251" t="s">
        <v>679</v>
      </c>
      <c r="C251" t="s">
        <v>23</v>
      </c>
      <c r="D251">
        <v>829</v>
      </c>
      <c r="E251">
        <v>115.81</v>
      </c>
      <c r="F251" s="1">
        <v>45478</v>
      </c>
      <c r="G251" s="2">
        <v>96006.49</v>
      </c>
      <c r="H251">
        <f>MONTH(product_performance_data[[#This Row],[Date_Sold]])</f>
        <v>7</v>
      </c>
      <c r="I251">
        <f>YEAR(product_performance_data[[#This Row],[Date_Sold]])</f>
        <v>2024</v>
      </c>
      <c r="J251" t="str">
        <f>TEXT(product_performance_data[[#This Row],[Date_Sold]],"ddd")</f>
        <v>Fri</v>
      </c>
    </row>
    <row r="252" spans="1:10" x14ac:dyDescent="0.3">
      <c r="A252" t="s">
        <v>868</v>
      </c>
      <c r="B252" t="s">
        <v>869</v>
      </c>
      <c r="C252" t="s">
        <v>37</v>
      </c>
      <c r="D252">
        <v>374</v>
      </c>
      <c r="E252">
        <v>255.52</v>
      </c>
      <c r="F252" s="1">
        <v>45814</v>
      </c>
      <c r="G252" s="2">
        <v>95564.48000000001</v>
      </c>
      <c r="H252">
        <f>MONTH(product_performance_data[[#This Row],[Date_Sold]])</f>
        <v>6</v>
      </c>
      <c r="I252">
        <f>YEAR(product_performance_data[[#This Row],[Date_Sold]])</f>
        <v>2025</v>
      </c>
      <c r="J252" t="str">
        <f>TEXT(product_performance_data[[#This Row],[Date_Sold]],"ddd")</f>
        <v>Fri</v>
      </c>
    </row>
    <row r="253" spans="1:10" x14ac:dyDescent="0.3">
      <c r="A253" t="s">
        <v>240</v>
      </c>
      <c r="B253" t="s">
        <v>241</v>
      </c>
      <c r="C253" t="s">
        <v>37</v>
      </c>
      <c r="D253">
        <v>305</v>
      </c>
      <c r="E253">
        <v>311.04000000000002</v>
      </c>
      <c r="F253" s="1">
        <v>45142</v>
      </c>
      <c r="G253" s="2">
        <v>94867.200000000012</v>
      </c>
      <c r="H253">
        <f>MONTH(product_performance_data[[#This Row],[Date_Sold]])</f>
        <v>8</v>
      </c>
      <c r="I253">
        <f>YEAR(product_performance_data[[#This Row],[Date_Sold]])</f>
        <v>2023</v>
      </c>
      <c r="J253" t="str">
        <f>TEXT(product_performance_data[[#This Row],[Date_Sold]],"ddd")</f>
        <v>Fri</v>
      </c>
    </row>
    <row r="254" spans="1:10" x14ac:dyDescent="0.3">
      <c r="A254" t="s">
        <v>610</v>
      </c>
      <c r="B254" t="s">
        <v>611</v>
      </c>
      <c r="C254" t="s">
        <v>30</v>
      </c>
      <c r="D254">
        <v>193</v>
      </c>
      <c r="E254">
        <v>490.33</v>
      </c>
      <c r="F254" s="1">
        <v>45664</v>
      </c>
      <c r="G254" s="2">
        <v>94633.69</v>
      </c>
      <c r="H254">
        <f>MONTH(product_performance_data[[#This Row],[Date_Sold]])</f>
        <v>1</v>
      </c>
      <c r="I254">
        <f>YEAR(product_performance_data[[#This Row],[Date_Sold]])</f>
        <v>2025</v>
      </c>
      <c r="J254" t="str">
        <f>TEXT(product_performance_data[[#This Row],[Date_Sold]],"ddd")</f>
        <v>Tue</v>
      </c>
    </row>
    <row r="255" spans="1:10" x14ac:dyDescent="0.3">
      <c r="A255" t="s">
        <v>690</v>
      </c>
      <c r="B255" t="s">
        <v>89</v>
      </c>
      <c r="C255" t="s">
        <v>12</v>
      </c>
      <c r="D255">
        <v>347</v>
      </c>
      <c r="E255">
        <v>269.54000000000002</v>
      </c>
      <c r="F255" s="1">
        <v>45851</v>
      </c>
      <c r="G255" s="2">
        <v>93530.38</v>
      </c>
      <c r="H255">
        <f>MONTH(product_performance_data[[#This Row],[Date_Sold]])</f>
        <v>7</v>
      </c>
      <c r="I255">
        <f>YEAR(product_performance_data[[#This Row],[Date_Sold]])</f>
        <v>2025</v>
      </c>
      <c r="J255" t="str">
        <f>TEXT(product_performance_data[[#This Row],[Date_Sold]],"ddd")</f>
        <v>Sun</v>
      </c>
    </row>
    <row r="256" spans="1:10" x14ac:dyDescent="0.3">
      <c r="A256" t="s">
        <v>372</v>
      </c>
      <c r="B256" t="s">
        <v>373</v>
      </c>
      <c r="C256" t="s">
        <v>30</v>
      </c>
      <c r="D256">
        <v>776</v>
      </c>
      <c r="E256">
        <v>120.45</v>
      </c>
      <c r="F256" s="1">
        <v>45384</v>
      </c>
      <c r="G256" s="2">
        <v>93469.2</v>
      </c>
      <c r="H256">
        <f>MONTH(product_performance_data[[#This Row],[Date_Sold]])</f>
        <v>4</v>
      </c>
      <c r="I256">
        <f>YEAR(product_performance_data[[#This Row],[Date_Sold]])</f>
        <v>2024</v>
      </c>
      <c r="J256" t="str">
        <f>TEXT(product_performance_data[[#This Row],[Date_Sold]],"ddd")</f>
        <v>Tue</v>
      </c>
    </row>
    <row r="257" spans="1:10" x14ac:dyDescent="0.3">
      <c r="A257" t="s">
        <v>416</v>
      </c>
      <c r="B257" t="s">
        <v>417</v>
      </c>
      <c r="C257" t="s">
        <v>37</v>
      </c>
      <c r="D257" s="8">
        <v>758</v>
      </c>
      <c r="E257">
        <v>122.57</v>
      </c>
      <c r="F257" s="1">
        <v>45510</v>
      </c>
      <c r="G257" s="2">
        <v>92908.06</v>
      </c>
      <c r="H257">
        <f>MONTH(product_performance_data[[#This Row],[Date_Sold]])</f>
        <v>8</v>
      </c>
      <c r="I257">
        <f>YEAR(product_performance_data[[#This Row],[Date_Sold]])</f>
        <v>2024</v>
      </c>
      <c r="J257" t="str">
        <f>TEXT(product_performance_data[[#This Row],[Date_Sold]],"ddd")</f>
        <v>Tue</v>
      </c>
    </row>
    <row r="258" spans="1:10" x14ac:dyDescent="0.3">
      <c r="A258" t="s">
        <v>941</v>
      </c>
      <c r="B258" t="s">
        <v>942</v>
      </c>
      <c r="C258" t="s">
        <v>30</v>
      </c>
      <c r="D258">
        <v>311</v>
      </c>
      <c r="E258">
        <v>296.20999999999998</v>
      </c>
      <c r="F258" s="1">
        <v>44949</v>
      </c>
      <c r="G258" s="2">
        <v>92121.31</v>
      </c>
      <c r="H258">
        <f>MONTH(product_performance_data[[#This Row],[Date_Sold]])</f>
        <v>1</v>
      </c>
      <c r="I258">
        <f>YEAR(product_performance_data[[#This Row],[Date_Sold]])</f>
        <v>2023</v>
      </c>
      <c r="J258" t="str">
        <f>TEXT(product_performance_data[[#This Row],[Date_Sold]],"ddd")</f>
        <v>Mon</v>
      </c>
    </row>
    <row r="259" spans="1:10" x14ac:dyDescent="0.3">
      <c r="A259" t="s">
        <v>935</v>
      </c>
      <c r="B259" t="s">
        <v>936</v>
      </c>
      <c r="C259" t="s">
        <v>12</v>
      </c>
      <c r="D259">
        <v>289</v>
      </c>
      <c r="E259">
        <v>318.70999999999998</v>
      </c>
      <c r="F259" s="1">
        <v>45996</v>
      </c>
      <c r="G259" s="2">
        <v>92107.189999999988</v>
      </c>
      <c r="H259">
        <f>MONTH(product_performance_data[[#This Row],[Date_Sold]])</f>
        <v>12</v>
      </c>
      <c r="I259">
        <f>YEAR(product_performance_data[[#This Row],[Date_Sold]])</f>
        <v>2025</v>
      </c>
      <c r="J259" t="str">
        <f>TEXT(product_performance_data[[#This Row],[Date_Sold]],"ddd")</f>
        <v>Fri</v>
      </c>
    </row>
    <row r="260" spans="1:10" x14ac:dyDescent="0.3">
      <c r="A260" t="s">
        <v>228</v>
      </c>
      <c r="B260" t="s">
        <v>229</v>
      </c>
      <c r="C260" t="s">
        <v>63</v>
      </c>
      <c r="D260">
        <v>280</v>
      </c>
      <c r="E260">
        <v>327.48</v>
      </c>
      <c r="F260" s="1">
        <v>45973</v>
      </c>
      <c r="G260" s="2">
        <v>91694.400000000009</v>
      </c>
      <c r="H260">
        <f>MONTH(product_performance_data[[#This Row],[Date_Sold]])</f>
        <v>11</v>
      </c>
      <c r="I260">
        <f>YEAR(product_performance_data[[#This Row],[Date_Sold]])</f>
        <v>2025</v>
      </c>
      <c r="J260" t="str">
        <f>TEXT(product_performance_data[[#This Row],[Date_Sold]],"ddd")</f>
        <v>Wed</v>
      </c>
    </row>
    <row r="261" spans="1:10" x14ac:dyDescent="0.3">
      <c r="A261" t="s">
        <v>489</v>
      </c>
      <c r="B261" t="s">
        <v>490</v>
      </c>
      <c r="C261" t="s">
        <v>12</v>
      </c>
      <c r="D261">
        <v>637</v>
      </c>
      <c r="E261">
        <v>143.47999999999999</v>
      </c>
      <c r="F261" s="1">
        <v>45934</v>
      </c>
      <c r="G261" s="2">
        <v>91396.76</v>
      </c>
      <c r="H261">
        <f>MONTH(product_performance_data[[#This Row],[Date_Sold]])</f>
        <v>10</v>
      </c>
      <c r="I261">
        <f>YEAR(product_performance_data[[#This Row],[Date_Sold]])</f>
        <v>2025</v>
      </c>
      <c r="J261" t="str">
        <f>TEXT(product_performance_data[[#This Row],[Date_Sold]],"ddd")</f>
        <v>Sat</v>
      </c>
    </row>
    <row r="262" spans="1:10" x14ac:dyDescent="0.3">
      <c r="A262" t="s">
        <v>142</v>
      </c>
      <c r="B262" t="s">
        <v>143</v>
      </c>
      <c r="C262" t="s">
        <v>12</v>
      </c>
      <c r="D262">
        <v>283</v>
      </c>
      <c r="E262">
        <v>320.94</v>
      </c>
      <c r="F262" s="1">
        <v>45613</v>
      </c>
      <c r="G262" s="2">
        <v>90826.02</v>
      </c>
      <c r="H262">
        <f>MONTH(product_performance_data[[#This Row],[Date_Sold]])</f>
        <v>11</v>
      </c>
      <c r="I262">
        <f>YEAR(product_performance_data[[#This Row],[Date_Sold]])</f>
        <v>2024</v>
      </c>
      <c r="J262" t="str">
        <f>TEXT(product_performance_data[[#This Row],[Date_Sold]],"ddd")</f>
        <v>Sun</v>
      </c>
    </row>
    <row r="263" spans="1:10" x14ac:dyDescent="0.3">
      <c r="A263" t="s">
        <v>390</v>
      </c>
      <c r="B263" t="s">
        <v>391</v>
      </c>
      <c r="C263" t="s">
        <v>37</v>
      </c>
      <c r="D263">
        <v>470</v>
      </c>
      <c r="E263" s="10">
        <v>192.1</v>
      </c>
      <c r="F263" s="1">
        <v>45223</v>
      </c>
      <c r="G263" s="2">
        <v>90287</v>
      </c>
      <c r="H263">
        <f>MONTH(product_performance_data[[#This Row],[Date_Sold]])</f>
        <v>10</v>
      </c>
      <c r="I263">
        <f>YEAR(product_performance_data[[#This Row],[Date_Sold]])</f>
        <v>2023</v>
      </c>
      <c r="J263" t="str">
        <f>TEXT(product_performance_data[[#This Row],[Date_Sold]],"ddd")</f>
        <v>Tue</v>
      </c>
    </row>
    <row r="264" spans="1:10" x14ac:dyDescent="0.3">
      <c r="A264" t="s">
        <v>441</v>
      </c>
      <c r="B264" t="s">
        <v>442</v>
      </c>
      <c r="C264" t="s">
        <v>30</v>
      </c>
      <c r="D264">
        <v>691</v>
      </c>
      <c r="E264">
        <v>130.22999999999999</v>
      </c>
      <c r="F264" s="1">
        <v>45207</v>
      </c>
      <c r="G264" s="2">
        <v>89988.93</v>
      </c>
      <c r="H264">
        <f>MONTH(product_performance_data[[#This Row],[Date_Sold]])</f>
        <v>10</v>
      </c>
      <c r="I264">
        <f>YEAR(product_performance_data[[#This Row],[Date_Sold]])</f>
        <v>2023</v>
      </c>
      <c r="J264" t="str">
        <f>TEXT(product_performance_data[[#This Row],[Date_Sold]],"ddd")</f>
        <v>Sun</v>
      </c>
    </row>
    <row r="265" spans="1:10" x14ac:dyDescent="0.3">
      <c r="A265" t="s">
        <v>789</v>
      </c>
      <c r="B265" t="s">
        <v>790</v>
      </c>
      <c r="C265" t="s">
        <v>23</v>
      </c>
      <c r="D265">
        <v>519</v>
      </c>
      <c r="E265">
        <v>172.04</v>
      </c>
      <c r="F265" s="1">
        <v>45551</v>
      </c>
      <c r="G265" s="2">
        <v>89288.76</v>
      </c>
      <c r="H265">
        <f>MONTH(product_performance_data[[#This Row],[Date_Sold]])</f>
        <v>9</v>
      </c>
      <c r="I265">
        <f>YEAR(product_performance_data[[#This Row],[Date_Sold]])</f>
        <v>2024</v>
      </c>
      <c r="J265" t="str">
        <f>TEXT(product_performance_data[[#This Row],[Date_Sold]],"ddd")</f>
        <v>Mon</v>
      </c>
    </row>
    <row r="266" spans="1:10" x14ac:dyDescent="0.3">
      <c r="A266" t="s">
        <v>46</v>
      </c>
      <c r="B266" t="s">
        <v>47</v>
      </c>
      <c r="C266" t="s">
        <v>30</v>
      </c>
      <c r="D266">
        <v>881</v>
      </c>
      <c r="E266" s="2">
        <v>101.17</v>
      </c>
      <c r="F266" s="1">
        <v>45758</v>
      </c>
      <c r="G266" s="2">
        <v>89130.77</v>
      </c>
      <c r="H266">
        <f>MONTH(product_performance_data[[#This Row],[Date_Sold]])</f>
        <v>4</v>
      </c>
      <c r="I266">
        <f>YEAR(product_performance_data[[#This Row],[Date_Sold]])</f>
        <v>2025</v>
      </c>
      <c r="J266" t="str">
        <f>TEXT(product_performance_data[[#This Row],[Date_Sold]],"ddd")</f>
        <v>Fri</v>
      </c>
    </row>
    <row r="267" spans="1:10" x14ac:dyDescent="0.3">
      <c r="A267" t="s">
        <v>503</v>
      </c>
      <c r="B267" t="s">
        <v>504</v>
      </c>
      <c r="C267" t="s">
        <v>37</v>
      </c>
      <c r="D267">
        <v>420</v>
      </c>
      <c r="E267">
        <v>211.24</v>
      </c>
      <c r="F267" s="1">
        <v>45183</v>
      </c>
      <c r="G267" s="2">
        <v>88720.8</v>
      </c>
      <c r="H267">
        <f>MONTH(product_performance_data[[#This Row],[Date_Sold]])</f>
        <v>9</v>
      </c>
      <c r="I267">
        <f>YEAR(product_performance_data[[#This Row],[Date_Sold]])</f>
        <v>2023</v>
      </c>
      <c r="J267" t="str">
        <f>TEXT(product_performance_data[[#This Row],[Date_Sold]],"ddd")</f>
        <v>Thu</v>
      </c>
    </row>
    <row r="268" spans="1:10" x14ac:dyDescent="0.3">
      <c r="A268" t="s">
        <v>883</v>
      </c>
      <c r="B268" t="s">
        <v>884</v>
      </c>
      <c r="C268" t="s">
        <v>9</v>
      </c>
      <c r="D268">
        <v>807</v>
      </c>
      <c r="E268">
        <v>104.86</v>
      </c>
      <c r="F268" s="1">
        <v>45666</v>
      </c>
      <c r="G268" s="2">
        <v>84622.02</v>
      </c>
      <c r="H268">
        <f>MONTH(product_performance_data[[#This Row],[Date_Sold]])</f>
        <v>1</v>
      </c>
      <c r="I268">
        <f>YEAR(product_performance_data[[#This Row],[Date_Sold]])</f>
        <v>2025</v>
      </c>
      <c r="J268" t="str">
        <f>TEXT(product_performance_data[[#This Row],[Date_Sold]],"ddd")</f>
        <v>Thu</v>
      </c>
    </row>
    <row r="269" spans="1:10" x14ac:dyDescent="0.3">
      <c r="A269" t="s">
        <v>446</v>
      </c>
      <c r="B269" t="s">
        <v>447</v>
      </c>
      <c r="C269" t="s">
        <v>9</v>
      </c>
      <c r="D269">
        <v>962</v>
      </c>
      <c r="E269">
        <v>87.28</v>
      </c>
      <c r="F269" s="1">
        <v>45461</v>
      </c>
      <c r="G269" s="2">
        <v>83963.36</v>
      </c>
      <c r="H269">
        <f>MONTH(product_performance_data[[#This Row],[Date_Sold]])</f>
        <v>6</v>
      </c>
      <c r="I269">
        <f>YEAR(product_performance_data[[#This Row],[Date_Sold]])</f>
        <v>2024</v>
      </c>
      <c r="J269" t="str">
        <f>TEXT(product_performance_data[[#This Row],[Date_Sold]],"ddd")</f>
        <v>Tue</v>
      </c>
    </row>
    <row r="270" spans="1:10" x14ac:dyDescent="0.3">
      <c r="A270" t="s">
        <v>709</v>
      </c>
      <c r="B270" t="s">
        <v>710</v>
      </c>
      <c r="C270" t="s">
        <v>37</v>
      </c>
      <c r="D270">
        <v>999</v>
      </c>
      <c r="E270">
        <v>82.7</v>
      </c>
      <c r="F270" s="1">
        <v>45206</v>
      </c>
      <c r="G270" s="2">
        <v>82617.3</v>
      </c>
      <c r="H270">
        <f>MONTH(product_performance_data[[#This Row],[Date_Sold]])</f>
        <v>10</v>
      </c>
      <c r="I270">
        <f>YEAR(product_performance_data[[#This Row],[Date_Sold]])</f>
        <v>2023</v>
      </c>
      <c r="J270" t="str">
        <f>TEXT(product_performance_data[[#This Row],[Date_Sold]],"ddd")</f>
        <v>Sat</v>
      </c>
    </row>
    <row r="271" spans="1:10" x14ac:dyDescent="0.3">
      <c r="A271" t="s">
        <v>264</v>
      </c>
      <c r="B271" t="s">
        <v>261</v>
      </c>
      <c r="C271" t="s">
        <v>23</v>
      </c>
      <c r="D271">
        <v>389</v>
      </c>
      <c r="E271">
        <v>211.88</v>
      </c>
      <c r="F271" s="1">
        <v>45077</v>
      </c>
      <c r="G271" s="2">
        <v>82421.319999999992</v>
      </c>
      <c r="H271">
        <f>MONTH(product_performance_data[[#This Row],[Date_Sold]])</f>
        <v>5</v>
      </c>
      <c r="I271">
        <f>YEAR(product_performance_data[[#This Row],[Date_Sold]])</f>
        <v>2023</v>
      </c>
      <c r="J271" t="str">
        <f>TEXT(product_performance_data[[#This Row],[Date_Sold]],"ddd")</f>
        <v>Wed</v>
      </c>
    </row>
    <row r="272" spans="1:10" x14ac:dyDescent="0.3">
      <c r="A272" t="s">
        <v>140</v>
      </c>
      <c r="B272" t="s">
        <v>141</v>
      </c>
      <c r="C272" t="s">
        <v>12</v>
      </c>
      <c r="D272">
        <v>176</v>
      </c>
      <c r="E272">
        <v>467.63</v>
      </c>
      <c r="F272" s="1">
        <v>45119</v>
      </c>
      <c r="G272" s="2">
        <v>82302.880000000005</v>
      </c>
      <c r="H272">
        <f>MONTH(product_performance_data[[#This Row],[Date_Sold]])</f>
        <v>7</v>
      </c>
      <c r="I272">
        <f>YEAR(product_performance_data[[#This Row],[Date_Sold]])</f>
        <v>2023</v>
      </c>
      <c r="J272" t="str">
        <f>TEXT(product_performance_data[[#This Row],[Date_Sold]],"ddd")</f>
        <v>Wed</v>
      </c>
    </row>
    <row r="273" spans="1:10" x14ac:dyDescent="0.3">
      <c r="A273" t="s">
        <v>602</v>
      </c>
      <c r="B273" t="s">
        <v>603</v>
      </c>
      <c r="C273" t="s">
        <v>23</v>
      </c>
      <c r="D273">
        <v>256</v>
      </c>
      <c r="E273">
        <v>321.48</v>
      </c>
      <c r="F273" s="1">
        <v>45391</v>
      </c>
      <c r="G273" s="2">
        <v>82298.880000000005</v>
      </c>
      <c r="H273">
        <f>MONTH(product_performance_data[[#This Row],[Date_Sold]])</f>
        <v>4</v>
      </c>
      <c r="I273">
        <f>YEAR(product_performance_data[[#This Row],[Date_Sold]])</f>
        <v>2024</v>
      </c>
      <c r="J273" t="str">
        <f>TEXT(product_performance_data[[#This Row],[Date_Sold]],"ddd")</f>
        <v>Tue</v>
      </c>
    </row>
    <row r="274" spans="1:10" x14ac:dyDescent="0.3">
      <c r="A274" t="s">
        <v>414</v>
      </c>
      <c r="B274" t="s">
        <v>415</v>
      </c>
      <c r="C274" t="s">
        <v>30</v>
      </c>
      <c r="D274">
        <v>240</v>
      </c>
      <c r="E274">
        <v>342.11</v>
      </c>
      <c r="F274" s="1">
        <v>45949</v>
      </c>
      <c r="G274" s="2">
        <v>82106.400000000009</v>
      </c>
      <c r="H274">
        <f>MONTH(product_performance_data[[#This Row],[Date_Sold]])</f>
        <v>10</v>
      </c>
      <c r="I274">
        <f>YEAR(product_performance_data[[#This Row],[Date_Sold]])</f>
        <v>2025</v>
      </c>
      <c r="J274" t="str">
        <f>TEXT(product_performance_data[[#This Row],[Date_Sold]],"ddd")</f>
        <v>Sun</v>
      </c>
    </row>
    <row r="275" spans="1:10" x14ac:dyDescent="0.3">
      <c r="A275" t="s">
        <v>234</v>
      </c>
      <c r="B275" t="s">
        <v>235</v>
      </c>
      <c r="C275" t="s">
        <v>37</v>
      </c>
      <c r="D275">
        <v>736</v>
      </c>
      <c r="E275">
        <v>111.22</v>
      </c>
      <c r="F275" s="1">
        <v>45967</v>
      </c>
      <c r="G275" s="2">
        <v>81857.919999999998</v>
      </c>
      <c r="H275">
        <f>MONTH(product_performance_data[[#This Row],[Date_Sold]])</f>
        <v>11</v>
      </c>
      <c r="I275">
        <f>YEAR(product_performance_data[[#This Row],[Date_Sold]])</f>
        <v>2025</v>
      </c>
      <c r="J275" t="str">
        <f>TEXT(product_performance_data[[#This Row],[Date_Sold]],"ddd")</f>
        <v>Thu</v>
      </c>
    </row>
    <row r="276" spans="1:10" x14ac:dyDescent="0.3">
      <c r="A276" t="s">
        <v>939</v>
      </c>
      <c r="B276" t="s">
        <v>940</v>
      </c>
      <c r="C276" t="s">
        <v>9</v>
      </c>
      <c r="D276">
        <v>506</v>
      </c>
      <c r="E276">
        <v>161.52000000000001</v>
      </c>
      <c r="F276" s="1">
        <v>45578</v>
      </c>
      <c r="G276" s="2">
        <v>81729.12000000001</v>
      </c>
      <c r="H276">
        <f>MONTH(product_performance_data[[#This Row],[Date_Sold]])</f>
        <v>10</v>
      </c>
      <c r="I276">
        <f>YEAR(product_performance_data[[#This Row],[Date_Sold]])</f>
        <v>2024</v>
      </c>
      <c r="J276" t="str">
        <f>TEXT(product_performance_data[[#This Row],[Date_Sold]],"ddd")</f>
        <v>Sun</v>
      </c>
    </row>
    <row r="277" spans="1:10" x14ac:dyDescent="0.3">
      <c r="A277" t="s">
        <v>138</v>
      </c>
      <c r="B277" t="s">
        <v>139</v>
      </c>
      <c r="C277" t="s">
        <v>30</v>
      </c>
      <c r="D277">
        <v>850</v>
      </c>
      <c r="E277">
        <v>95.52</v>
      </c>
      <c r="F277" s="1">
        <v>45198</v>
      </c>
      <c r="G277" s="2">
        <v>81192</v>
      </c>
      <c r="H277">
        <f>MONTH(product_performance_data[[#This Row],[Date_Sold]])</f>
        <v>9</v>
      </c>
      <c r="I277">
        <f>YEAR(product_performance_data[[#This Row],[Date_Sold]])</f>
        <v>2023</v>
      </c>
      <c r="J277" t="str">
        <f>TEXT(product_performance_data[[#This Row],[Date_Sold]],"ddd")</f>
        <v>Fri</v>
      </c>
    </row>
    <row r="278" spans="1:10" x14ac:dyDescent="0.3">
      <c r="A278" t="s">
        <v>134</v>
      </c>
      <c r="B278" t="s">
        <v>135</v>
      </c>
      <c r="C278" t="s">
        <v>60</v>
      </c>
      <c r="D278">
        <v>656</v>
      </c>
      <c r="E278">
        <v>123.69</v>
      </c>
      <c r="F278" s="1">
        <v>45154</v>
      </c>
      <c r="G278" s="2">
        <v>81140.639999999999</v>
      </c>
      <c r="H278">
        <f>MONTH(product_performance_data[[#This Row],[Date_Sold]])</f>
        <v>8</v>
      </c>
      <c r="I278">
        <f>YEAR(product_performance_data[[#This Row],[Date_Sold]])</f>
        <v>2023</v>
      </c>
      <c r="J278" t="str">
        <f>TEXT(product_performance_data[[#This Row],[Date_Sold]],"ddd")</f>
        <v>Wed</v>
      </c>
    </row>
    <row r="279" spans="1:10" x14ac:dyDescent="0.3">
      <c r="A279" t="s">
        <v>286</v>
      </c>
      <c r="B279" t="s">
        <v>287</v>
      </c>
      <c r="C279" t="s">
        <v>63</v>
      </c>
      <c r="D279">
        <v>657</v>
      </c>
      <c r="E279">
        <v>123.11</v>
      </c>
      <c r="F279" s="1">
        <v>45162</v>
      </c>
      <c r="G279" s="2">
        <v>80883.27</v>
      </c>
      <c r="H279">
        <f>MONTH(product_performance_data[[#This Row],[Date_Sold]])</f>
        <v>8</v>
      </c>
      <c r="I279">
        <f>YEAR(product_performance_data[[#This Row],[Date_Sold]])</f>
        <v>2023</v>
      </c>
      <c r="J279" t="str">
        <f>TEXT(product_performance_data[[#This Row],[Date_Sold]],"ddd")</f>
        <v>Thu</v>
      </c>
    </row>
    <row r="280" spans="1:10" x14ac:dyDescent="0.3">
      <c r="A280" t="s">
        <v>574</v>
      </c>
      <c r="B280" t="s">
        <v>575</v>
      </c>
      <c r="C280" t="s">
        <v>30</v>
      </c>
      <c r="D280">
        <v>575</v>
      </c>
      <c r="E280">
        <v>137.99</v>
      </c>
      <c r="F280" s="1">
        <v>45914</v>
      </c>
      <c r="G280" s="2">
        <v>79344.25</v>
      </c>
      <c r="H280">
        <f>MONTH(product_performance_data[[#This Row],[Date_Sold]])</f>
        <v>9</v>
      </c>
      <c r="I280">
        <f>YEAR(product_performance_data[[#This Row],[Date_Sold]])</f>
        <v>2025</v>
      </c>
      <c r="J280" t="str">
        <f>TEXT(product_performance_data[[#This Row],[Date_Sold]],"ddd")</f>
        <v>Sun</v>
      </c>
    </row>
    <row r="281" spans="1:10" x14ac:dyDescent="0.3">
      <c r="A281" t="s">
        <v>881</v>
      </c>
      <c r="B281" t="s">
        <v>882</v>
      </c>
      <c r="C281" t="s">
        <v>9</v>
      </c>
      <c r="D281">
        <v>286</v>
      </c>
      <c r="E281">
        <v>276.72000000000003</v>
      </c>
      <c r="F281" s="1">
        <v>45998</v>
      </c>
      <c r="G281" s="2">
        <v>79141.920000000013</v>
      </c>
      <c r="H281">
        <f>MONTH(product_performance_data[[#This Row],[Date_Sold]])</f>
        <v>12</v>
      </c>
      <c r="I281">
        <f>YEAR(product_performance_data[[#This Row],[Date_Sold]])</f>
        <v>2025</v>
      </c>
      <c r="J281" t="str">
        <f>TEXT(product_performance_data[[#This Row],[Date_Sold]],"ddd")</f>
        <v>Sun</v>
      </c>
    </row>
    <row r="282" spans="1:10" x14ac:dyDescent="0.3">
      <c r="A282" t="s">
        <v>559</v>
      </c>
      <c r="B282" t="s">
        <v>560</v>
      </c>
      <c r="C282" t="s">
        <v>12</v>
      </c>
      <c r="D282">
        <v>634</v>
      </c>
      <c r="E282">
        <v>124.34</v>
      </c>
      <c r="F282" s="1">
        <v>45713</v>
      </c>
      <c r="G282" s="2">
        <v>78831.56</v>
      </c>
      <c r="H282">
        <f>MONTH(product_performance_data[[#This Row],[Date_Sold]])</f>
        <v>2</v>
      </c>
      <c r="I282">
        <f>YEAR(product_performance_data[[#This Row],[Date_Sold]])</f>
        <v>2025</v>
      </c>
      <c r="J282" t="str">
        <f>TEXT(product_performance_data[[#This Row],[Date_Sold]],"ddd")</f>
        <v>Tue</v>
      </c>
    </row>
    <row r="283" spans="1:10" x14ac:dyDescent="0.3">
      <c r="A283" t="s">
        <v>473</v>
      </c>
      <c r="B283" t="s">
        <v>474</v>
      </c>
      <c r="C283" t="s">
        <v>30</v>
      </c>
      <c r="D283">
        <v>240</v>
      </c>
      <c r="E283">
        <v>325.19</v>
      </c>
      <c r="F283" s="1">
        <v>45271</v>
      </c>
      <c r="G283" s="2">
        <v>78045.600000000006</v>
      </c>
      <c r="H283">
        <f>MONTH(product_performance_data[[#This Row],[Date_Sold]])</f>
        <v>12</v>
      </c>
      <c r="I283">
        <f>YEAR(product_performance_data[[#This Row],[Date_Sold]])</f>
        <v>2023</v>
      </c>
      <c r="J283" t="str">
        <f>TEXT(product_performance_data[[#This Row],[Date_Sold]],"ddd")</f>
        <v>Mon</v>
      </c>
    </row>
    <row r="284" spans="1:10" x14ac:dyDescent="0.3">
      <c r="A284" t="s">
        <v>783</v>
      </c>
      <c r="B284" t="s">
        <v>784</v>
      </c>
      <c r="C284" t="s">
        <v>30</v>
      </c>
      <c r="D284">
        <v>263</v>
      </c>
      <c r="E284">
        <v>295.33999999999997</v>
      </c>
      <c r="F284" s="1">
        <v>45192</v>
      </c>
      <c r="G284" s="2">
        <v>77674.42</v>
      </c>
      <c r="H284">
        <f>MONTH(product_performance_data[[#This Row],[Date_Sold]])</f>
        <v>9</v>
      </c>
      <c r="I284">
        <f>YEAR(product_performance_data[[#This Row],[Date_Sold]])</f>
        <v>2023</v>
      </c>
      <c r="J284" t="str">
        <f>TEXT(product_performance_data[[#This Row],[Date_Sold]],"ddd")</f>
        <v>Sat</v>
      </c>
    </row>
    <row r="285" spans="1:10" x14ac:dyDescent="0.3">
      <c r="A285" t="s">
        <v>362</v>
      </c>
      <c r="B285" t="s">
        <v>363</v>
      </c>
      <c r="C285" t="s">
        <v>63</v>
      </c>
      <c r="D285">
        <v>652</v>
      </c>
      <c r="E285">
        <v>115.18</v>
      </c>
      <c r="F285" s="1">
        <v>45661</v>
      </c>
      <c r="G285" s="2">
        <v>75097.36</v>
      </c>
      <c r="H285">
        <f>MONTH(product_performance_data[[#This Row],[Date_Sold]])</f>
        <v>1</v>
      </c>
      <c r="I285">
        <f>YEAR(product_performance_data[[#This Row],[Date_Sold]])</f>
        <v>2025</v>
      </c>
      <c r="J285" t="str">
        <f>TEXT(product_performance_data[[#This Row],[Date_Sold]],"ddd")</f>
        <v>Sat</v>
      </c>
    </row>
    <row r="286" spans="1:10" x14ac:dyDescent="0.3">
      <c r="A286" t="s">
        <v>394</v>
      </c>
      <c r="B286" t="s">
        <v>395</v>
      </c>
      <c r="C286" t="s">
        <v>37</v>
      </c>
      <c r="D286">
        <v>584</v>
      </c>
      <c r="E286">
        <v>128.12</v>
      </c>
      <c r="F286" s="1">
        <v>45454</v>
      </c>
      <c r="G286" s="2">
        <v>74822.080000000002</v>
      </c>
      <c r="H286">
        <f>MONTH(product_performance_data[[#This Row],[Date_Sold]])</f>
        <v>6</v>
      </c>
      <c r="I286">
        <f>YEAR(product_performance_data[[#This Row],[Date_Sold]])</f>
        <v>2024</v>
      </c>
      <c r="J286" t="str">
        <f>TEXT(product_performance_data[[#This Row],[Date_Sold]],"ddd")</f>
        <v>Tue</v>
      </c>
    </row>
    <row r="287" spans="1:10" x14ac:dyDescent="0.3">
      <c r="A287" t="s">
        <v>546</v>
      </c>
      <c r="B287" t="s">
        <v>547</v>
      </c>
      <c r="C287" t="s">
        <v>63</v>
      </c>
      <c r="D287">
        <v>277</v>
      </c>
      <c r="E287">
        <v>269.5</v>
      </c>
      <c r="F287" s="1">
        <v>45452</v>
      </c>
      <c r="G287" s="2">
        <v>74651.5</v>
      </c>
      <c r="H287">
        <f>MONTH(product_performance_data[[#This Row],[Date_Sold]])</f>
        <v>6</v>
      </c>
      <c r="I287">
        <f>YEAR(product_performance_data[[#This Row],[Date_Sold]])</f>
        <v>2024</v>
      </c>
      <c r="J287" t="str">
        <f>TEXT(product_performance_data[[#This Row],[Date_Sold]],"ddd")</f>
        <v>Sun</v>
      </c>
    </row>
    <row r="288" spans="1:10" x14ac:dyDescent="0.3">
      <c r="A288" t="s">
        <v>839</v>
      </c>
      <c r="B288" t="s">
        <v>840</v>
      </c>
      <c r="C288" t="s">
        <v>9</v>
      </c>
      <c r="D288">
        <v>204</v>
      </c>
      <c r="E288">
        <v>362.83</v>
      </c>
      <c r="F288" s="1">
        <v>45788</v>
      </c>
      <c r="G288" s="2">
        <v>74017.319999999992</v>
      </c>
      <c r="H288">
        <f>MONTH(product_performance_data[[#This Row],[Date_Sold]])</f>
        <v>5</v>
      </c>
      <c r="I288">
        <f>YEAR(product_performance_data[[#This Row],[Date_Sold]])</f>
        <v>2025</v>
      </c>
      <c r="J288" t="str">
        <f>TEXT(product_performance_data[[#This Row],[Date_Sold]],"ddd")</f>
        <v>Sun</v>
      </c>
    </row>
    <row r="289" spans="1:10" x14ac:dyDescent="0.3">
      <c r="A289" t="s">
        <v>448</v>
      </c>
      <c r="B289" t="s">
        <v>449</v>
      </c>
      <c r="C289" t="s">
        <v>23</v>
      </c>
      <c r="D289">
        <v>655</v>
      </c>
      <c r="E289">
        <v>112.32</v>
      </c>
      <c r="F289" s="1">
        <v>45072</v>
      </c>
      <c r="G289" s="2">
        <v>73569.599999999991</v>
      </c>
      <c r="H289">
        <f>MONTH(product_performance_data[[#This Row],[Date_Sold]])</f>
        <v>5</v>
      </c>
      <c r="I289">
        <f>YEAR(product_performance_data[[#This Row],[Date_Sold]])</f>
        <v>2023</v>
      </c>
      <c r="J289" t="str">
        <f>TEXT(product_performance_data[[#This Row],[Date_Sold]],"ddd")</f>
        <v>Fri</v>
      </c>
    </row>
    <row r="290" spans="1:10" x14ac:dyDescent="0.3">
      <c r="A290" t="s">
        <v>931</v>
      </c>
      <c r="B290" t="s">
        <v>932</v>
      </c>
      <c r="C290" t="s">
        <v>63</v>
      </c>
      <c r="D290">
        <v>754</v>
      </c>
      <c r="E290">
        <v>97.27</v>
      </c>
      <c r="F290" s="1">
        <v>45469</v>
      </c>
      <c r="G290" s="2">
        <v>73341.58</v>
      </c>
      <c r="H290">
        <f>MONTH(product_performance_data[[#This Row],[Date_Sold]])</f>
        <v>6</v>
      </c>
      <c r="I290">
        <f>YEAR(product_performance_data[[#This Row],[Date_Sold]])</f>
        <v>2024</v>
      </c>
      <c r="J290" t="str">
        <f>TEXT(product_performance_data[[#This Row],[Date_Sold]],"ddd")</f>
        <v>Wed</v>
      </c>
    </row>
    <row r="291" spans="1:10" x14ac:dyDescent="0.3">
      <c r="A291" t="s">
        <v>525</v>
      </c>
      <c r="B291" t="s">
        <v>526</v>
      </c>
      <c r="C291" t="s">
        <v>63</v>
      </c>
      <c r="D291">
        <v>383</v>
      </c>
      <c r="E291">
        <v>191.49</v>
      </c>
      <c r="F291" s="1">
        <v>45146</v>
      </c>
      <c r="G291" s="2">
        <v>73340.67</v>
      </c>
      <c r="H291">
        <f>MONTH(product_performance_data[[#This Row],[Date_Sold]])</f>
        <v>8</v>
      </c>
      <c r="I291">
        <f>YEAR(product_performance_data[[#This Row],[Date_Sold]])</f>
        <v>2023</v>
      </c>
      <c r="J291" t="str">
        <f>TEXT(product_performance_data[[#This Row],[Date_Sold]],"ddd")</f>
        <v>Tue</v>
      </c>
    </row>
    <row r="292" spans="1:10" x14ac:dyDescent="0.3">
      <c r="A292" t="s">
        <v>810</v>
      </c>
      <c r="B292" t="s">
        <v>811</v>
      </c>
      <c r="C292" t="s">
        <v>12</v>
      </c>
      <c r="D292">
        <v>172</v>
      </c>
      <c r="E292">
        <v>426.15</v>
      </c>
      <c r="F292" s="1">
        <v>44967</v>
      </c>
      <c r="G292" s="2">
        <v>73297.8</v>
      </c>
      <c r="H292">
        <f>MONTH(product_performance_data[[#This Row],[Date_Sold]])</f>
        <v>2</v>
      </c>
      <c r="I292">
        <f>YEAR(product_performance_data[[#This Row],[Date_Sold]])</f>
        <v>2023</v>
      </c>
      <c r="J292" t="str">
        <f>TEXT(product_performance_data[[#This Row],[Date_Sold]],"ddd")</f>
        <v>Fri</v>
      </c>
    </row>
    <row r="293" spans="1:10" x14ac:dyDescent="0.3">
      <c r="A293" t="s">
        <v>871</v>
      </c>
      <c r="B293" t="s">
        <v>872</v>
      </c>
      <c r="C293" t="s">
        <v>9</v>
      </c>
      <c r="D293">
        <v>447</v>
      </c>
      <c r="E293">
        <v>163.72</v>
      </c>
      <c r="F293" s="1">
        <v>44941</v>
      </c>
      <c r="G293" s="2">
        <v>73182.84</v>
      </c>
      <c r="H293">
        <f>MONTH(product_performance_data[[#This Row],[Date_Sold]])</f>
        <v>1</v>
      </c>
      <c r="I293">
        <f>YEAR(product_performance_data[[#This Row],[Date_Sold]])</f>
        <v>2023</v>
      </c>
      <c r="J293" t="str">
        <f>TEXT(product_performance_data[[#This Row],[Date_Sold]],"ddd")</f>
        <v>Sun</v>
      </c>
    </row>
    <row r="294" spans="1:10" x14ac:dyDescent="0.3">
      <c r="A294" t="s">
        <v>31</v>
      </c>
      <c r="B294" t="s">
        <v>32</v>
      </c>
      <c r="C294" t="s">
        <v>9</v>
      </c>
      <c r="D294">
        <v>476</v>
      </c>
      <c r="E294" s="2">
        <v>151.77000000000001</v>
      </c>
      <c r="F294" s="1">
        <v>45751</v>
      </c>
      <c r="G294" s="2">
        <v>72242.52</v>
      </c>
      <c r="H294">
        <f>MONTH(product_performance_data[[#This Row],[Date_Sold]])</f>
        <v>4</v>
      </c>
      <c r="I294">
        <f>YEAR(product_performance_data[[#This Row],[Date_Sold]])</f>
        <v>2025</v>
      </c>
      <c r="J294" t="str">
        <f>TEXT(product_performance_data[[#This Row],[Date_Sold]],"ddd")</f>
        <v>Fri</v>
      </c>
    </row>
    <row r="295" spans="1:10" x14ac:dyDescent="0.3">
      <c r="A295" t="s">
        <v>818</v>
      </c>
      <c r="B295" t="s">
        <v>819</v>
      </c>
      <c r="C295" t="s">
        <v>23</v>
      </c>
      <c r="D295">
        <v>170</v>
      </c>
      <c r="E295">
        <v>421.95</v>
      </c>
      <c r="F295" s="1">
        <v>45353</v>
      </c>
      <c r="G295" s="2">
        <v>71731.5</v>
      </c>
      <c r="H295">
        <f>MONTH(product_performance_data[[#This Row],[Date_Sold]])</f>
        <v>3</v>
      </c>
      <c r="I295">
        <f>YEAR(product_performance_data[[#This Row],[Date_Sold]])</f>
        <v>2024</v>
      </c>
      <c r="J295" t="str">
        <f>TEXT(product_performance_data[[#This Row],[Date_Sold]],"ddd")</f>
        <v>Sat</v>
      </c>
    </row>
    <row r="296" spans="1:10" x14ac:dyDescent="0.3">
      <c r="A296" t="s">
        <v>148</v>
      </c>
      <c r="B296" t="s">
        <v>149</v>
      </c>
      <c r="C296" t="s">
        <v>63</v>
      </c>
      <c r="D296">
        <v>325</v>
      </c>
      <c r="E296">
        <v>220.66</v>
      </c>
      <c r="F296" s="1">
        <v>45628</v>
      </c>
      <c r="G296" s="2">
        <v>71714.5</v>
      </c>
      <c r="H296">
        <f>MONTH(product_performance_data[[#This Row],[Date_Sold]])</f>
        <v>12</v>
      </c>
      <c r="I296">
        <f>YEAR(product_performance_data[[#This Row],[Date_Sold]])</f>
        <v>2024</v>
      </c>
      <c r="J296" t="str">
        <f>TEXT(product_performance_data[[#This Row],[Date_Sold]],"ddd")</f>
        <v>Mon</v>
      </c>
    </row>
    <row r="297" spans="1:10" x14ac:dyDescent="0.3">
      <c r="A297" t="s">
        <v>741</v>
      </c>
      <c r="B297" t="s">
        <v>742</v>
      </c>
      <c r="C297" t="s">
        <v>9</v>
      </c>
      <c r="D297" s="10">
        <v>169</v>
      </c>
      <c r="E297">
        <v>423</v>
      </c>
      <c r="F297" s="1">
        <v>45406</v>
      </c>
      <c r="G297" s="2">
        <v>71487</v>
      </c>
      <c r="H297">
        <f>MONTH(product_performance_data[[#This Row],[Date_Sold]])</f>
        <v>4</v>
      </c>
      <c r="I297">
        <f>YEAR(product_performance_data[[#This Row],[Date_Sold]])</f>
        <v>2024</v>
      </c>
      <c r="J297" t="str">
        <f>TEXT(product_performance_data[[#This Row],[Date_Sold]],"ddd")</f>
        <v>Wed</v>
      </c>
    </row>
    <row r="298" spans="1:10" x14ac:dyDescent="0.3">
      <c r="A298" t="s">
        <v>108</v>
      </c>
      <c r="B298" t="s">
        <v>109</v>
      </c>
      <c r="C298" t="s">
        <v>23</v>
      </c>
      <c r="D298">
        <v>199</v>
      </c>
      <c r="E298" s="2">
        <v>358.72</v>
      </c>
      <c r="F298" s="1">
        <v>45638</v>
      </c>
      <c r="G298" s="2">
        <v>71385.279999999999</v>
      </c>
      <c r="H298">
        <f>MONTH(product_performance_data[[#This Row],[Date_Sold]])</f>
        <v>12</v>
      </c>
      <c r="I298">
        <f>YEAR(product_performance_data[[#This Row],[Date_Sold]])</f>
        <v>2024</v>
      </c>
      <c r="J298" t="str">
        <f>TEXT(product_performance_data[[#This Row],[Date_Sold]],"ddd")</f>
        <v>Thu</v>
      </c>
    </row>
    <row r="299" spans="1:10" x14ac:dyDescent="0.3">
      <c r="A299" t="s">
        <v>481</v>
      </c>
      <c r="B299" t="s">
        <v>482</v>
      </c>
      <c r="C299" t="s">
        <v>30</v>
      </c>
      <c r="D299">
        <v>386</v>
      </c>
      <c r="E299">
        <v>183.37</v>
      </c>
      <c r="F299" s="1">
        <v>45699</v>
      </c>
      <c r="G299" s="2">
        <v>70780.820000000007</v>
      </c>
      <c r="H299">
        <f>MONTH(product_performance_data[[#This Row],[Date_Sold]])</f>
        <v>2</v>
      </c>
      <c r="I299">
        <f>YEAR(product_performance_data[[#This Row],[Date_Sold]])</f>
        <v>2025</v>
      </c>
      <c r="J299" t="str">
        <f>TEXT(product_performance_data[[#This Row],[Date_Sold]],"ddd")</f>
        <v>Tue</v>
      </c>
    </row>
    <row r="300" spans="1:10" x14ac:dyDescent="0.3">
      <c r="A300" t="s">
        <v>182</v>
      </c>
      <c r="B300" t="s">
        <v>183</v>
      </c>
      <c r="C300" t="s">
        <v>9</v>
      </c>
      <c r="D300">
        <v>215</v>
      </c>
      <c r="E300">
        <v>326.64</v>
      </c>
      <c r="F300" s="1">
        <v>45715</v>
      </c>
      <c r="G300" s="2">
        <v>70227.599999999991</v>
      </c>
      <c r="H300">
        <f>MONTH(product_performance_data[[#This Row],[Date_Sold]])</f>
        <v>2</v>
      </c>
      <c r="I300">
        <f>YEAR(product_performance_data[[#This Row],[Date_Sold]])</f>
        <v>2025</v>
      </c>
      <c r="J300" t="str">
        <f>TEXT(product_performance_data[[#This Row],[Date_Sold]],"ddd")</f>
        <v>Thu</v>
      </c>
    </row>
    <row r="301" spans="1:10" x14ac:dyDescent="0.3">
      <c r="A301" t="s">
        <v>104</v>
      </c>
      <c r="B301" t="s">
        <v>105</v>
      </c>
      <c r="C301" t="s">
        <v>63</v>
      </c>
      <c r="D301">
        <v>985</v>
      </c>
      <c r="E301" s="2">
        <v>70.709999999999994</v>
      </c>
      <c r="F301" s="1">
        <v>45440</v>
      </c>
      <c r="G301" s="2">
        <v>69649.349999999991</v>
      </c>
      <c r="H301">
        <f>MONTH(product_performance_data[[#This Row],[Date_Sold]])</f>
        <v>5</v>
      </c>
      <c r="I301">
        <f>YEAR(product_performance_data[[#This Row],[Date_Sold]])</f>
        <v>2024</v>
      </c>
      <c r="J301" t="str">
        <f>TEXT(product_performance_data[[#This Row],[Date_Sold]],"ddd")</f>
        <v>Tue</v>
      </c>
    </row>
    <row r="302" spans="1:10" x14ac:dyDescent="0.3">
      <c r="A302" t="s">
        <v>533</v>
      </c>
      <c r="B302" t="s">
        <v>534</v>
      </c>
      <c r="C302" t="s">
        <v>30</v>
      </c>
      <c r="D302">
        <v>242</v>
      </c>
      <c r="E302">
        <v>286.7</v>
      </c>
      <c r="F302" s="1">
        <v>45449</v>
      </c>
      <c r="G302" s="2">
        <v>69381.399999999994</v>
      </c>
      <c r="H302">
        <f>MONTH(product_performance_data[[#This Row],[Date_Sold]])</f>
        <v>6</v>
      </c>
      <c r="I302">
        <f>YEAR(product_performance_data[[#This Row],[Date_Sold]])</f>
        <v>2024</v>
      </c>
      <c r="J302" t="str">
        <f>TEXT(product_performance_data[[#This Row],[Date_Sold]],"ddd")</f>
        <v>Thu</v>
      </c>
    </row>
    <row r="303" spans="1:10" x14ac:dyDescent="0.3">
      <c r="A303" t="s">
        <v>671</v>
      </c>
      <c r="B303" t="s">
        <v>672</v>
      </c>
      <c r="C303" t="s">
        <v>23</v>
      </c>
      <c r="D303">
        <v>507</v>
      </c>
      <c r="E303">
        <v>437.79</v>
      </c>
      <c r="F303" s="1">
        <v>45104</v>
      </c>
      <c r="G303" s="2">
        <v>68295.240000000005</v>
      </c>
      <c r="H303">
        <f>MONTH(product_performance_data[[#This Row],[Date_Sold]])</f>
        <v>6</v>
      </c>
      <c r="I303">
        <f>YEAR(product_performance_data[[#This Row],[Date_Sold]])</f>
        <v>2023</v>
      </c>
      <c r="J303" t="str">
        <f>TEXT(product_performance_data[[#This Row],[Date_Sold]],"ddd")</f>
        <v>Tue</v>
      </c>
    </row>
    <row r="304" spans="1:10" x14ac:dyDescent="0.3">
      <c r="A304" t="s">
        <v>428</v>
      </c>
      <c r="B304" t="s">
        <v>51</v>
      </c>
      <c r="C304" t="s">
        <v>9</v>
      </c>
      <c r="D304">
        <v>169</v>
      </c>
      <c r="E304">
        <v>402.04</v>
      </c>
      <c r="F304" s="1">
        <v>45074</v>
      </c>
      <c r="G304" s="2">
        <v>67944.760000000009</v>
      </c>
      <c r="H304">
        <f>MONTH(product_performance_data[[#This Row],[Date_Sold]])</f>
        <v>5</v>
      </c>
      <c r="I304">
        <f>YEAR(product_performance_data[[#This Row],[Date_Sold]])</f>
        <v>2023</v>
      </c>
      <c r="J304" t="str">
        <f>TEXT(product_performance_data[[#This Row],[Date_Sold]],"ddd")</f>
        <v>Sun</v>
      </c>
    </row>
    <row r="305" spans="1:10" x14ac:dyDescent="0.3">
      <c r="A305" t="s">
        <v>588</v>
      </c>
      <c r="B305" t="s">
        <v>589</v>
      </c>
      <c r="C305" t="s">
        <v>30</v>
      </c>
      <c r="D305">
        <v>139</v>
      </c>
      <c r="E305">
        <v>484.15</v>
      </c>
      <c r="F305" s="1">
        <v>45196</v>
      </c>
      <c r="G305" s="2">
        <v>67296.849999999991</v>
      </c>
      <c r="H305">
        <f>MONTH(product_performance_data[[#This Row],[Date_Sold]])</f>
        <v>9</v>
      </c>
      <c r="I305">
        <f>YEAR(product_performance_data[[#This Row],[Date_Sold]])</f>
        <v>2023</v>
      </c>
      <c r="J305" t="str">
        <f>TEXT(product_performance_data[[#This Row],[Date_Sold]],"ddd")</f>
        <v>Wed</v>
      </c>
    </row>
    <row r="306" spans="1:10" x14ac:dyDescent="0.3">
      <c r="A306" t="s">
        <v>785</v>
      </c>
      <c r="B306" t="s">
        <v>786</v>
      </c>
      <c r="C306" t="s">
        <v>12</v>
      </c>
      <c r="D306">
        <v>236</v>
      </c>
      <c r="E306">
        <v>284.41000000000003</v>
      </c>
      <c r="F306" s="1">
        <v>45033</v>
      </c>
      <c r="G306" s="2">
        <v>67120.760000000009</v>
      </c>
      <c r="H306">
        <f>MONTH(product_performance_data[[#This Row],[Date_Sold]])</f>
        <v>4</v>
      </c>
      <c r="I306">
        <f>YEAR(product_performance_data[[#This Row],[Date_Sold]])</f>
        <v>2023</v>
      </c>
      <c r="J306" t="str">
        <f>TEXT(product_performance_data[[#This Row],[Date_Sold]],"ddd")</f>
        <v>Mon</v>
      </c>
    </row>
    <row r="307" spans="1:10" x14ac:dyDescent="0.3">
      <c r="A307" t="s">
        <v>232</v>
      </c>
      <c r="B307" t="s">
        <v>233</v>
      </c>
      <c r="C307" t="s">
        <v>37</v>
      </c>
      <c r="D307">
        <v>471</v>
      </c>
      <c r="E307">
        <v>140.61000000000001</v>
      </c>
      <c r="F307" s="1">
        <v>45883</v>
      </c>
      <c r="G307" s="2">
        <v>66227.310000000012</v>
      </c>
      <c r="H307">
        <f>MONTH(product_performance_data[[#This Row],[Date_Sold]])</f>
        <v>8</v>
      </c>
      <c r="I307">
        <f>YEAR(product_performance_data[[#This Row],[Date_Sold]])</f>
        <v>2025</v>
      </c>
      <c r="J307" t="str">
        <f>TEXT(product_performance_data[[#This Row],[Date_Sold]],"ddd")</f>
        <v>Thu</v>
      </c>
    </row>
    <row r="308" spans="1:10" x14ac:dyDescent="0.3">
      <c r="A308" t="s">
        <v>608</v>
      </c>
      <c r="B308" t="s">
        <v>609</v>
      </c>
      <c r="C308" t="s">
        <v>9</v>
      </c>
      <c r="D308">
        <v>212</v>
      </c>
      <c r="E308">
        <v>310.55</v>
      </c>
      <c r="F308" s="1">
        <v>45202</v>
      </c>
      <c r="G308" s="2">
        <v>65836.600000000006</v>
      </c>
      <c r="H308">
        <f>MONTH(product_performance_data[[#This Row],[Date_Sold]])</f>
        <v>10</v>
      </c>
      <c r="I308">
        <f>YEAR(product_performance_data[[#This Row],[Date_Sold]])</f>
        <v>2023</v>
      </c>
      <c r="J308" t="str">
        <f>TEXT(product_performance_data[[#This Row],[Date_Sold]],"ddd")</f>
        <v>Tue</v>
      </c>
    </row>
    <row r="309" spans="1:10" x14ac:dyDescent="0.3">
      <c r="A309" t="s">
        <v>889</v>
      </c>
      <c r="B309" t="s">
        <v>890</v>
      </c>
      <c r="C309" t="s">
        <v>23</v>
      </c>
      <c r="D309">
        <v>888</v>
      </c>
      <c r="E309">
        <v>73.72</v>
      </c>
      <c r="F309" s="1">
        <v>45898</v>
      </c>
      <c r="G309" s="2">
        <v>65463.360000000001</v>
      </c>
      <c r="H309">
        <f>MONTH(product_performance_data[[#This Row],[Date_Sold]])</f>
        <v>8</v>
      </c>
      <c r="I309">
        <f>YEAR(product_performance_data[[#This Row],[Date_Sold]])</f>
        <v>2025</v>
      </c>
      <c r="J309" t="str">
        <f>TEXT(product_performance_data[[#This Row],[Date_Sold]],"ddd")</f>
        <v>Fri</v>
      </c>
    </row>
    <row r="310" spans="1:10" x14ac:dyDescent="0.3">
      <c r="A310" t="s">
        <v>302</v>
      </c>
      <c r="B310" t="s">
        <v>303</v>
      </c>
      <c r="C310" t="s">
        <v>9</v>
      </c>
      <c r="D310">
        <v>428</v>
      </c>
      <c r="E310">
        <v>152.33000000000001</v>
      </c>
      <c r="F310" s="1">
        <v>45801</v>
      </c>
      <c r="G310" s="2">
        <v>65197.240000000005</v>
      </c>
      <c r="H310">
        <f>MONTH(product_performance_data[[#This Row],[Date_Sold]])</f>
        <v>5</v>
      </c>
      <c r="I310">
        <f>YEAR(product_performance_data[[#This Row],[Date_Sold]])</f>
        <v>2025</v>
      </c>
      <c r="J310" t="str">
        <f>TEXT(product_performance_data[[#This Row],[Date_Sold]],"ddd")</f>
        <v>Sat</v>
      </c>
    </row>
    <row r="311" spans="1:10" x14ac:dyDescent="0.3">
      <c r="A311" t="s">
        <v>943</v>
      </c>
      <c r="B311" t="s">
        <v>944</v>
      </c>
      <c r="C311" t="s">
        <v>63</v>
      </c>
      <c r="D311">
        <v>190</v>
      </c>
      <c r="E311">
        <v>343.08</v>
      </c>
      <c r="F311" s="1">
        <v>45684</v>
      </c>
      <c r="G311" s="2">
        <v>65185.2</v>
      </c>
      <c r="H311">
        <f>MONTH(product_performance_data[[#This Row],[Date_Sold]])</f>
        <v>1</v>
      </c>
      <c r="I311">
        <f>YEAR(product_performance_data[[#This Row],[Date_Sold]])</f>
        <v>2025</v>
      </c>
      <c r="J311" t="str">
        <f>TEXT(product_performance_data[[#This Row],[Date_Sold]],"ddd")</f>
        <v>Mon</v>
      </c>
    </row>
    <row r="312" spans="1:10" x14ac:dyDescent="0.3">
      <c r="A312" t="s">
        <v>879</v>
      </c>
      <c r="B312" t="s">
        <v>880</v>
      </c>
      <c r="C312" t="s">
        <v>9</v>
      </c>
      <c r="D312">
        <v>235</v>
      </c>
      <c r="E312">
        <v>276.56</v>
      </c>
      <c r="F312" s="1">
        <v>45953</v>
      </c>
      <c r="G312" s="2">
        <v>64991.6</v>
      </c>
      <c r="H312">
        <f>MONTH(product_performance_data[[#This Row],[Date_Sold]])</f>
        <v>10</v>
      </c>
      <c r="I312">
        <f>YEAR(product_performance_data[[#This Row],[Date_Sold]])</f>
        <v>2025</v>
      </c>
      <c r="J312" t="str">
        <f>TEXT(product_performance_data[[#This Row],[Date_Sold]],"ddd")</f>
        <v>Thu</v>
      </c>
    </row>
    <row r="313" spans="1:10" x14ac:dyDescent="0.3">
      <c r="A313" t="s">
        <v>584</v>
      </c>
      <c r="B313" t="s">
        <v>585</v>
      </c>
      <c r="C313" t="s">
        <v>63</v>
      </c>
      <c r="D313">
        <v>412</v>
      </c>
      <c r="E313">
        <v>157.35</v>
      </c>
      <c r="F313" s="1">
        <v>45115</v>
      </c>
      <c r="G313" s="2">
        <v>64828.2</v>
      </c>
      <c r="H313">
        <f>MONTH(product_performance_data[[#This Row],[Date_Sold]])</f>
        <v>7</v>
      </c>
      <c r="I313">
        <f>YEAR(product_performance_data[[#This Row],[Date_Sold]])</f>
        <v>2023</v>
      </c>
      <c r="J313" t="str">
        <f>TEXT(product_performance_data[[#This Row],[Date_Sold]],"ddd")</f>
        <v>Sat</v>
      </c>
    </row>
    <row r="314" spans="1:10" x14ac:dyDescent="0.3">
      <c r="A314" t="s">
        <v>637</v>
      </c>
      <c r="B314" t="s">
        <v>638</v>
      </c>
      <c r="C314" t="s">
        <v>63</v>
      </c>
      <c r="D314">
        <v>153</v>
      </c>
      <c r="E314">
        <v>421.84</v>
      </c>
      <c r="F314" s="1">
        <v>45876</v>
      </c>
      <c r="G314" s="2">
        <v>64541.52</v>
      </c>
      <c r="H314">
        <f>MONTH(product_performance_data[[#This Row],[Date_Sold]])</f>
        <v>8</v>
      </c>
      <c r="I314">
        <f>YEAR(product_performance_data[[#This Row],[Date_Sold]])</f>
        <v>2025</v>
      </c>
      <c r="J314" t="str">
        <f>TEXT(product_performance_data[[#This Row],[Date_Sold]],"ddd")</f>
        <v>Thu</v>
      </c>
    </row>
    <row r="315" spans="1:10" x14ac:dyDescent="0.3">
      <c r="A315" t="s">
        <v>645</v>
      </c>
      <c r="B315" t="s">
        <v>646</v>
      </c>
      <c r="C315" t="s">
        <v>12</v>
      </c>
      <c r="D315">
        <v>196</v>
      </c>
      <c r="E315">
        <v>312.3</v>
      </c>
      <c r="F315" s="1">
        <v>45891</v>
      </c>
      <c r="G315" s="2">
        <v>61210.8</v>
      </c>
      <c r="H315">
        <f>MONTH(product_performance_data[[#This Row],[Date_Sold]])</f>
        <v>8</v>
      </c>
      <c r="I315">
        <f>YEAR(product_performance_data[[#This Row],[Date_Sold]])</f>
        <v>2025</v>
      </c>
      <c r="J315" t="str">
        <f>TEXT(product_performance_data[[#This Row],[Date_Sold]],"ddd")</f>
        <v>Fri</v>
      </c>
    </row>
    <row r="316" spans="1:10" x14ac:dyDescent="0.3">
      <c r="A316" t="s">
        <v>470</v>
      </c>
      <c r="B316" t="s">
        <v>165</v>
      </c>
      <c r="C316" t="s">
        <v>37</v>
      </c>
      <c r="D316">
        <v>357</v>
      </c>
      <c r="E316">
        <v>171.15</v>
      </c>
      <c r="F316" s="1">
        <v>45789</v>
      </c>
      <c r="G316" s="2">
        <v>61100.55</v>
      </c>
      <c r="H316">
        <f>MONTH(product_performance_data[[#This Row],[Date_Sold]])</f>
        <v>5</v>
      </c>
      <c r="I316">
        <f>YEAR(product_performance_data[[#This Row],[Date_Sold]])</f>
        <v>2025</v>
      </c>
      <c r="J316" t="str">
        <f>TEXT(product_performance_data[[#This Row],[Date_Sold]],"ddd")</f>
        <v>Mon</v>
      </c>
    </row>
    <row r="317" spans="1:10" x14ac:dyDescent="0.3">
      <c r="A317" t="s">
        <v>918</v>
      </c>
      <c r="B317" t="s">
        <v>919</v>
      </c>
      <c r="C317" t="s">
        <v>30</v>
      </c>
      <c r="D317">
        <v>167</v>
      </c>
      <c r="E317">
        <v>362.19</v>
      </c>
      <c r="F317" s="1">
        <v>45076</v>
      </c>
      <c r="G317" s="2">
        <v>60485.73</v>
      </c>
      <c r="H317">
        <f>MONTH(product_performance_data[[#This Row],[Date_Sold]])</f>
        <v>5</v>
      </c>
      <c r="I317">
        <f>YEAR(product_performance_data[[#This Row],[Date_Sold]])</f>
        <v>2023</v>
      </c>
      <c r="J317" t="str">
        <f>TEXT(product_performance_data[[#This Row],[Date_Sold]],"ddd")</f>
        <v>Tue</v>
      </c>
    </row>
    <row r="318" spans="1:10" x14ac:dyDescent="0.3">
      <c r="A318" t="s">
        <v>166</v>
      </c>
      <c r="B318" t="s">
        <v>167</v>
      </c>
      <c r="C318" t="s">
        <v>37</v>
      </c>
      <c r="D318">
        <v>376</v>
      </c>
      <c r="E318">
        <v>159.15</v>
      </c>
      <c r="F318" s="1">
        <v>45851</v>
      </c>
      <c r="G318" s="2">
        <v>59840.4</v>
      </c>
      <c r="H318">
        <f>MONTH(product_performance_data[[#This Row],[Date_Sold]])</f>
        <v>7</v>
      </c>
      <c r="I318">
        <f>YEAR(product_performance_data[[#This Row],[Date_Sold]])</f>
        <v>2025</v>
      </c>
      <c r="J318" t="str">
        <f>TEXT(product_performance_data[[#This Row],[Date_Sold]],"ddd")</f>
        <v>Sun</v>
      </c>
    </row>
    <row r="319" spans="1:10" x14ac:dyDescent="0.3">
      <c r="A319" t="s">
        <v>539</v>
      </c>
      <c r="B319" t="s">
        <v>540</v>
      </c>
      <c r="C319" t="s">
        <v>63</v>
      </c>
      <c r="D319">
        <v>839</v>
      </c>
      <c r="E319">
        <v>71.260000000000005</v>
      </c>
      <c r="F319" s="1">
        <v>45024</v>
      </c>
      <c r="G319" s="2">
        <v>59787.140000000007</v>
      </c>
      <c r="H319">
        <f>MONTH(product_performance_data[[#This Row],[Date_Sold]])</f>
        <v>4</v>
      </c>
      <c r="I319">
        <f>YEAR(product_performance_data[[#This Row],[Date_Sold]])</f>
        <v>2023</v>
      </c>
      <c r="J319" t="str">
        <f>TEXT(product_performance_data[[#This Row],[Date_Sold]],"ddd")</f>
        <v>Sat</v>
      </c>
    </row>
    <row r="320" spans="1:10" x14ac:dyDescent="0.3">
      <c r="A320" t="s">
        <v>647</v>
      </c>
      <c r="B320" t="s">
        <v>648</v>
      </c>
      <c r="C320" t="s">
        <v>23</v>
      </c>
      <c r="D320">
        <v>335</v>
      </c>
      <c r="E320">
        <v>176.97</v>
      </c>
      <c r="F320" s="1">
        <v>45230</v>
      </c>
      <c r="G320" s="2">
        <v>59284.95</v>
      </c>
      <c r="H320">
        <f>MONTH(product_performance_data[[#This Row],[Date_Sold]])</f>
        <v>10</v>
      </c>
      <c r="I320">
        <f>YEAR(product_performance_data[[#This Row],[Date_Sold]])</f>
        <v>2023</v>
      </c>
      <c r="J320" t="str">
        <f>TEXT(product_performance_data[[#This Row],[Date_Sold]],"ddd")</f>
        <v>Tue</v>
      </c>
    </row>
    <row r="321" spans="1:10" x14ac:dyDescent="0.3">
      <c r="A321" t="s">
        <v>276</v>
      </c>
      <c r="B321" t="s">
        <v>277</v>
      </c>
      <c r="C321" t="s">
        <v>37</v>
      </c>
      <c r="D321">
        <v>866</v>
      </c>
      <c r="E321">
        <v>68.209999999999994</v>
      </c>
      <c r="F321" s="1">
        <v>45585</v>
      </c>
      <c r="G321" s="2">
        <v>59069.859999999993</v>
      </c>
      <c r="H321">
        <f>MONTH(product_performance_data[[#This Row],[Date_Sold]])</f>
        <v>10</v>
      </c>
      <c r="I321">
        <f>YEAR(product_performance_data[[#This Row],[Date_Sold]])</f>
        <v>2024</v>
      </c>
      <c r="J321" t="str">
        <f>TEXT(product_performance_data[[#This Row],[Date_Sold]],"ddd")</f>
        <v>Sun</v>
      </c>
    </row>
    <row r="322" spans="1:10" x14ac:dyDescent="0.3">
      <c r="A322" t="s">
        <v>711</v>
      </c>
      <c r="B322" t="s">
        <v>712</v>
      </c>
      <c r="C322" t="s">
        <v>30</v>
      </c>
      <c r="D322">
        <v>307</v>
      </c>
      <c r="E322">
        <v>191.76</v>
      </c>
      <c r="F322" s="1">
        <v>45978</v>
      </c>
      <c r="G322" s="2">
        <v>58870.32</v>
      </c>
      <c r="H322">
        <f>MONTH(product_performance_data[[#This Row],[Date_Sold]])</f>
        <v>11</v>
      </c>
      <c r="I322">
        <f>YEAR(product_performance_data[[#This Row],[Date_Sold]])</f>
        <v>2025</v>
      </c>
      <c r="J322" t="str">
        <f>TEXT(product_performance_data[[#This Row],[Date_Sold]],"ddd")</f>
        <v>Mon</v>
      </c>
    </row>
    <row r="323" spans="1:10" x14ac:dyDescent="0.3">
      <c r="A323" t="s">
        <v>954</v>
      </c>
      <c r="B323" t="s">
        <v>955</v>
      </c>
      <c r="C323" t="s">
        <v>23</v>
      </c>
      <c r="D323">
        <v>262</v>
      </c>
      <c r="E323">
        <v>222.18</v>
      </c>
      <c r="F323" s="1">
        <v>45929</v>
      </c>
      <c r="G323" s="2">
        <v>58211.16</v>
      </c>
      <c r="H323">
        <f>MONTH(product_performance_data[[#This Row],[Date_Sold]])</f>
        <v>9</v>
      </c>
      <c r="I323">
        <f>YEAR(product_performance_data[[#This Row],[Date_Sold]])</f>
        <v>2025</v>
      </c>
      <c r="J323" t="str">
        <f>TEXT(product_performance_data[[#This Row],[Date_Sold]],"ddd")</f>
        <v>Mon</v>
      </c>
    </row>
    <row r="324" spans="1:10" x14ac:dyDescent="0.3">
      <c r="A324" t="s">
        <v>580</v>
      </c>
      <c r="B324" t="s">
        <v>581</v>
      </c>
      <c r="C324" t="s">
        <v>63</v>
      </c>
      <c r="D324">
        <v>234</v>
      </c>
      <c r="E324">
        <v>240.72</v>
      </c>
      <c r="F324" s="1">
        <v>45316</v>
      </c>
      <c r="G324" s="2">
        <v>56328.480000000003</v>
      </c>
      <c r="H324">
        <f>MONTH(product_performance_data[[#This Row],[Date_Sold]])</f>
        <v>1</v>
      </c>
      <c r="I324">
        <f>YEAR(product_performance_data[[#This Row],[Date_Sold]])</f>
        <v>2024</v>
      </c>
      <c r="J324" t="str">
        <f>TEXT(product_performance_data[[#This Row],[Date_Sold]],"ddd")</f>
        <v>Thu</v>
      </c>
    </row>
    <row r="325" spans="1:10" x14ac:dyDescent="0.3">
      <c r="A325" t="s">
        <v>120</v>
      </c>
      <c r="B325" t="s">
        <v>121</v>
      </c>
      <c r="C325" t="s">
        <v>12</v>
      </c>
      <c r="D325">
        <v>576</v>
      </c>
      <c r="E325">
        <v>96.25</v>
      </c>
      <c r="F325" s="1">
        <v>45504</v>
      </c>
      <c r="G325" s="2">
        <v>55440</v>
      </c>
      <c r="H325">
        <f>MONTH(product_performance_data[[#This Row],[Date_Sold]])</f>
        <v>7</v>
      </c>
      <c r="I325">
        <f>YEAR(product_performance_data[[#This Row],[Date_Sold]])</f>
        <v>2024</v>
      </c>
      <c r="J325" t="str">
        <f>TEXT(product_performance_data[[#This Row],[Date_Sold]],"ddd")</f>
        <v>Wed</v>
      </c>
    </row>
    <row r="326" spans="1:10" x14ac:dyDescent="0.3">
      <c r="A326" t="s">
        <v>705</v>
      </c>
      <c r="B326" t="s">
        <v>706</v>
      </c>
      <c r="C326" t="s">
        <v>30</v>
      </c>
      <c r="D326">
        <v>160</v>
      </c>
      <c r="E326">
        <v>345.45</v>
      </c>
      <c r="F326" s="1">
        <v>44928</v>
      </c>
      <c r="G326" s="2">
        <v>55272</v>
      </c>
      <c r="H326">
        <f>MONTH(product_performance_data[[#This Row],[Date_Sold]])</f>
        <v>1</v>
      </c>
      <c r="I326">
        <f>YEAR(product_performance_data[[#This Row],[Date_Sold]])</f>
        <v>2023</v>
      </c>
      <c r="J326" t="str">
        <f>TEXT(product_performance_data[[#This Row],[Date_Sold]],"ddd")</f>
        <v>Mon</v>
      </c>
    </row>
    <row r="327" spans="1:10" x14ac:dyDescent="0.3">
      <c r="A327" t="s">
        <v>875</v>
      </c>
      <c r="B327" t="s">
        <v>876</v>
      </c>
      <c r="C327" t="s">
        <v>30</v>
      </c>
      <c r="D327">
        <v>292</v>
      </c>
      <c r="E327">
        <v>187.77</v>
      </c>
      <c r="F327" s="1">
        <v>45223</v>
      </c>
      <c r="G327" s="2">
        <v>54828.840000000004</v>
      </c>
      <c r="H327">
        <f>MONTH(product_performance_data[[#This Row],[Date_Sold]])</f>
        <v>10</v>
      </c>
      <c r="I327">
        <f>YEAR(product_performance_data[[#This Row],[Date_Sold]])</f>
        <v>2023</v>
      </c>
      <c r="J327" t="str">
        <f>TEXT(product_performance_data[[#This Row],[Date_Sold]],"ddd")</f>
        <v>Tue</v>
      </c>
    </row>
    <row r="328" spans="1:10" x14ac:dyDescent="0.3">
      <c r="A328" t="s">
        <v>952</v>
      </c>
      <c r="B328" t="s">
        <v>953</v>
      </c>
      <c r="C328" t="s">
        <v>30</v>
      </c>
      <c r="D328">
        <v>200</v>
      </c>
      <c r="E328">
        <v>272.19</v>
      </c>
      <c r="F328" s="1">
        <v>45537</v>
      </c>
      <c r="G328" s="2">
        <v>54438</v>
      </c>
      <c r="H328">
        <f>MONTH(product_performance_data[[#This Row],[Date_Sold]])</f>
        <v>9</v>
      </c>
      <c r="I328">
        <f>YEAR(product_performance_data[[#This Row],[Date_Sold]])</f>
        <v>2024</v>
      </c>
      <c r="J328" t="str">
        <f>TEXT(product_performance_data[[#This Row],[Date_Sold]],"ddd")</f>
        <v>Mon</v>
      </c>
    </row>
    <row r="329" spans="1:10" x14ac:dyDescent="0.3">
      <c r="A329" t="s">
        <v>695</v>
      </c>
      <c r="B329" t="s">
        <v>696</v>
      </c>
      <c r="C329" t="s">
        <v>23</v>
      </c>
      <c r="D329">
        <v>788</v>
      </c>
      <c r="E329">
        <v>68.73</v>
      </c>
      <c r="F329" s="1">
        <v>45522</v>
      </c>
      <c r="G329" s="2">
        <v>54159.240000000005</v>
      </c>
      <c r="H329">
        <f>MONTH(product_performance_data[[#This Row],[Date_Sold]])</f>
        <v>8</v>
      </c>
      <c r="I329">
        <f>YEAR(product_performance_data[[#This Row],[Date_Sold]])</f>
        <v>2024</v>
      </c>
      <c r="J329" t="str">
        <f>TEXT(product_performance_data[[#This Row],[Date_Sold]],"ddd")</f>
        <v>Sun</v>
      </c>
    </row>
    <row r="330" spans="1:10" x14ac:dyDescent="0.3">
      <c r="A330" t="s">
        <v>479</v>
      </c>
      <c r="B330" t="s">
        <v>480</v>
      </c>
      <c r="C330" t="s">
        <v>30</v>
      </c>
      <c r="D330">
        <v>394</v>
      </c>
      <c r="E330">
        <v>136.63999999999999</v>
      </c>
      <c r="F330" s="1">
        <v>45048</v>
      </c>
      <c r="G330" s="2">
        <v>53836.159999999996</v>
      </c>
      <c r="H330">
        <f>MONTH(product_performance_data[[#This Row],[Date_Sold]])</f>
        <v>5</v>
      </c>
      <c r="I330">
        <f>YEAR(product_performance_data[[#This Row],[Date_Sold]])</f>
        <v>2023</v>
      </c>
      <c r="J330" t="str">
        <f>TEXT(product_performance_data[[#This Row],[Date_Sold]],"ddd")</f>
        <v>Tue</v>
      </c>
    </row>
    <row r="331" spans="1:10" x14ac:dyDescent="0.3">
      <c r="A331" t="s">
        <v>341</v>
      </c>
      <c r="B331" t="s">
        <v>342</v>
      </c>
      <c r="C331" t="s">
        <v>12</v>
      </c>
      <c r="D331">
        <v>108</v>
      </c>
      <c r="E331">
        <v>497.99</v>
      </c>
      <c r="F331" s="1">
        <v>45636</v>
      </c>
      <c r="G331" s="2">
        <v>53782.92</v>
      </c>
      <c r="H331">
        <f>MONTH(product_performance_data[[#This Row],[Date_Sold]])</f>
        <v>12</v>
      </c>
      <c r="I331">
        <f>YEAR(product_performance_data[[#This Row],[Date_Sold]])</f>
        <v>2024</v>
      </c>
      <c r="J331" t="str">
        <f>TEXT(product_performance_data[[#This Row],[Date_Sold]],"ddd")</f>
        <v>Tue</v>
      </c>
    </row>
    <row r="332" spans="1:10" x14ac:dyDescent="0.3">
      <c r="A332" t="s">
        <v>96</v>
      </c>
      <c r="B332" t="s">
        <v>97</v>
      </c>
      <c r="C332" t="s">
        <v>12</v>
      </c>
      <c r="D332">
        <v>520</v>
      </c>
      <c r="E332" s="2">
        <v>101.22</v>
      </c>
      <c r="F332" s="1">
        <v>45917</v>
      </c>
      <c r="G332" s="2">
        <v>52634.400000000001</v>
      </c>
      <c r="H332">
        <f>MONTH(product_performance_data[[#This Row],[Date_Sold]])</f>
        <v>9</v>
      </c>
      <c r="I332">
        <f>YEAR(product_performance_data[[#This Row],[Date_Sold]])</f>
        <v>2025</v>
      </c>
      <c r="J332" t="str">
        <f>TEXT(product_performance_data[[#This Row],[Date_Sold]],"ddd")</f>
        <v>Wed</v>
      </c>
    </row>
    <row r="333" spans="1:10" x14ac:dyDescent="0.3">
      <c r="A333" t="s">
        <v>320</v>
      </c>
      <c r="B333" t="s">
        <v>321</v>
      </c>
      <c r="C333" t="s">
        <v>9</v>
      </c>
      <c r="D333">
        <v>210</v>
      </c>
      <c r="E333">
        <v>249.05</v>
      </c>
      <c r="F333" s="1">
        <v>45181</v>
      </c>
      <c r="G333" s="2">
        <v>52300.5</v>
      </c>
      <c r="H333">
        <f>MONTH(product_performance_data[[#This Row],[Date_Sold]])</f>
        <v>9</v>
      </c>
      <c r="I333">
        <f>YEAR(product_performance_data[[#This Row],[Date_Sold]])</f>
        <v>2023</v>
      </c>
      <c r="J333" t="str">
        <f>TEXT(product_performance_data[[#This Row],[Date_Sold]],"ddd")</f>
        <v>Tue</v>
      </c>
    </row>
    <row r="334" spans="1:10" x14ac:dyDescent="0.3">
      <c r="A334" t="s">
        <v>102</v>
      </c>
      <c r="B334" t="s">
        <v>103</v>
      </c>
      <c r="C334" t="s">
        <v>12</v>
      </c>
      <c r="D334">
        <v>709</v>
      </c>
      <c r="E334" s="2">
        <v>73.48</v>
      </c>
      <c r="F334" s="1">
        <v>45823</v>
      </c>
      <c r="G334" s="2">
        <v>52097.32</v>
      </c>
      <c r="H334">
        <f>MONTH(product_performance_data[[#This Row],[Date_Sold]])</f>
        <v>6</v>
      </c>
      <c r="I334">
        <f>YEAR(product_performance_data[[#This Row],[Date_Sold]])</f>
        <v>2025</v>
      </c>
      <c r="J334" t="str">
        <f>TEXT(product_performance_data[[#This Row],[Date_Sold]],"ddd")</f>
        <v>Sun</v>
      </c>
    </row>
    <row r="335" spans="1:10" x14ac:dyDescent="0.3">
      <c r="A335" t="s">
        <v>754</v>
      </c>
      <c r="B335" t="s">
        <v>755</v>
      </c>
      <c r="C335" t="s">
        <v>63</v>
      </c>
      <c r="D335">
        <v>140</v>
      </c>
      <c r="E335">
        <v>370.02</v>
      </c>
      <c r="F335" s="1">
        <v>45192</v>
      </c>
      <c r="G335" s="2">
        <v>51802.799999999996</v>
      </c>
      <c r="H335">
        <f>MONTH(product_performance_data[[#This Row],[Date_Sold]])</f>
        <v>9</v>
      </c>
      <c r="I335">
        <f>YEAR(product_performance_data[[#This Row],[Date_Sold]])</f>
        <v>2023</v>
      </c>
      <c r="J335" t="str">
        <f>TEXT(product_performance_data[[#This Row],[Date_Sold]],"ddd")</f>
        <v>Sat</v>
      </c>
    </row>
    <row r="336" spans="1:10" x14ac:dyDescent="0.3">
      <c r="A336" t="s">
        <v>735</v>
      </c>
      <c r="B336" t="s">
        <v>736</v>
      </c>
      <c r="C336" t="s">
        <v>30</v>
      </c>
      <c r="D336">
        <v>661</v>
      </c>
      <c r="E336">
        <v>78.13</v>
      </c>
      <c r="F336" s="1">
        <v>45629</v>
      </c>
      <c r="G336" s="2">
        <v>51643.93</v>
      </c>
      <c r="H336">
        <f>MONTH(product_performance_data[[#This Row],[Date_Sold]])</f>
        <v>12</v>
      </c>
      <c r="I336">
        <f>YEAR(product_performance_data[[#This Row],[Date_Sold]])</f>
        <v>2024</v>
      </c>
      <c r="J336" t="str">
        <f>TEXT(product_performance_data[[#This Row],[Date_Sold]],"ddd")</f>
        <v>Tue</v>
      </c>
    </row>
    <row r="337" spans="1:10" x14ac:dyDescent="0.3">
      <c r="A337" t="s">
        <v>649</v>
      </c>
      <c r="B337" t="s">
        <v>650</v>
      </c>
      <c r="C337" t="s">
        <v>63</v>
      </c>
      <c r="D337">
        <v>473</v>
      </c>
      <c r="E337">
        <v>108.52</v>
      </c>
      <c r="F337" s="1">
        <v>45339</v>
      </c>
      <c r="G337" s="2">
        <v>51329.96</v>
      </c>
      <c r="H337">
        <f>MONTH(product_performance_data[[#This Row],[Date_Sold]])</f>
        <v>2</v>
      </c>
      <c r="I337">
        <f>YEAR(product_performance_data[[#This Row],[Date_Sold]])</f>
        <v>2024</v>
      </c>
      <c r="J337" t="str">
        <f>TEXT(product_performance_data[[#This Row],[Date_Sold]],"ddd")</f>
        <v>Sat</v>
      </c>
    </row>
    <row r="338" spans="1:10" x14ac:dyDescent="0.3">
      <c r="A338" t="s">
        <v>978</v>
      </c>
      <c r="B338" t="s">
        <v>979</v>
      </c>
      <c r="C338" t="s">
        <v>30</v>
      </c>
      <c r="D338">
        <v>579</v>
      </c>
      <c r="E338">
        <v>87.53</v>
      </c>
      <c r="F338" s="1">
        <v>45138</v>
      </c>
      <c r="G338" s="2">
        <v>50679.87</v>
      </c>
      <c r="H338">
        <f>MONTH(product_performance_data[[#This Row],[Date_Sold]])</f>
        <v>7</v>
      </c>
      <c r="I338">
        <f>YEAR(product_performance_data[[#This Row],[Date_Sold]])</f>
        <v>2023</v>
      </c>
      <c r="J338" t="str">
        <f>TEXT(product_performance_data[[#This Row],[Date_Sold]],"ddd")</f>
        <v>Mon</v>
      </c>
    </row>
    <row r="339" spans="1:10" x14ac:dyDescent="0.3">
      <c r="A339" t="s">
        <v>80</v>
      </c>
      <c r="B339" t="s">
        <v>81</v>
      </c>
      <c r="C339" t="s">
        <v>37</v>
      </c>
      <c r="D339">
        <v>323</v>
      </c>
      <c r="E339" s="2">
        <v>155.12</v>
      </c>
      <c r="F339" s="1">
        <v>45855</v>
      </c>
      <c r="G339" s="2">
        <v>50103.76</v>
      </c>
      <c r="H339">
        <f>MONTH(product_performance_data[[#This Row],[Date_Sold]])</f>
        <v>7</v>
      </c>
      <c r="I339">
        <f>YEAR(product_performance_data[[#This Row],[Date_Sold]])</f>
        <v>2025</v>
      </c>
      <c r="J339" t="str">
        <f>TEXT(product_performance_data[[#This Row],[Date_Sold]],"ddd")</f>
        <v>Thu</v>
      </c>
    </row>
    <row r="340" spans="1:10" x14ac:dyDescent="0.3">
      <c r="A340" t="s">
        <v>236</v>
      </c>
      <c r="B340" t="s">
        <v>237</v>
      </c>
      <c r="C340" t="s">
        <v>12</v>
      </c>
      <c r="D340">
        <v>261</v>
      </c>
      <c r="E340">
        <v>191.74</v>
      </c>
      <c r="F340" s="1">
        <v>45688</v>
      </c>
      <c r="G340" s="2">
        <v>50044.14</v>
      </c>
      <c r="H340">
        <f>MONTH(product_performance_data[[#This Row],[Date_Sold]])</f>
        <v>1</v>
      </c>
      <c r="I340">
        <f>YEAR(product_performance_data[[#This Row],[Date_Sold]])</f>
        <v>2025</v>
      </c>
      <c r="J340" t="str">
        <f>TEXT(product_performance_data[[#This Row],[Date_Sold]],"ddd")</f>
        <v>Fri</v>
      </c>
    </row>
    <row r="341" spans="1:10" x14ac:dyDescent="0.3">
      <c r="A341" t="s">
        <v>230</v>
      </c>
      <c r="B341" t="s">
        <v>231</v>
      </c>
      <c r="C341" t="s">
        <v>12</v>
      </c>
      <c r="D341">
        <v>465</v>
      </c>
      <c r="E341">
        <v>107.31</v>
      </c>
      <c r="F341" s="1">
        <v>45114</v>
      </c>
      <c r="G341" s="2">
        <v>49899.15</v>
      </c>
      <c r="H341">
        <f>MONTH(product_performance_data[[#This Row],[Date_Sold]])</f>
        <v>7</v>
      </c>
      <c r="I341">
        <f>YEAR(product_performance_data[[#This Row],[Date_Sold]])</f>
        <v>2023</v>
      </c>
      <c r="J341" t="str">
        <f>TEXT(product_performance_data[[#This Row],[Date_Sold]],"ddd")</f>
        <v>Fri</v>
      </c>
    </row>
    <row r="342" spans="1:10" x14ac:dyDescent="0.3">
      <c r="A342" t="s">
        <v>216</v>
      </c>
      <c r="B342" t="s">
        <v>217</v>
      </c>
      <c r="C342" t="s">
        <v>30</v>
      </c>
      <c r="D342">
        <v>171</v>
      </c>
      <c r="E342">
        <v>288.82</v>
      </c>
      <c r="F342" s="1">
        <v>45836</v>
      </c>
      <c r="G342" s="2">
        <v>49388.22</v>
      </c>
      <c r="H342">
        <f>MONTH(product_performance_data[[#This Row],[Date_Sold]])</f>
        <v>6</v>
      </c>
      <c r="I342">
        <f>YEAR(product_performance_data[[#This Row],[Date_Sold]])</f>
        <v>2025</v>
      </c>
      <c r="J342" t="str">
        <f>TEXT(product_performance_data[[#This Row],[Date_Sold]],"ddd")</f>
        <v>Sat</v>
      </c>
    </row>
    <row r="343" spans="1:10" x14ac:dyDescent="0.3">
      <c r="A343" t="s">
        <v>380</v>
      </c>
      <c r="B343" t="s">
        <v>381</v>
      </c>
      <c r="C343" t="s">
        <v>12</v>
      </c>
      <c r="D343">
        <v>402</v>
      </c>
      <c r="E343">
        <v>122.16</v>
      </c>
      <c r="F343" s="1">
        <v>45597</v>
      </c>
      <c r="G343" s="2">
        <v>49108.32</v>
      </c>
      <c r="H343">
        <f>MONTH(product_performance_data[[#This Row],[Date_Sold]])</f>
        <v>11</v>
      </c>
      <c r="I343">
        <f>YEAR(product_performance_data[[#This Row],[Date_Sold]])</f>
        <v>2024</v>
      </c>
      <c r="J343" t="str">
        <f>TEXT(product_performance_data[[#This Row],[Date_Sold]],"ddd")</f>
        <v>Fri</v>
      </c>
    </row>
    <row r="344" spans="1:10" x14ac:dyDescent="0.3">
      <c r="A344" t="s">
        <v>33</v>
      </c>
      <c r="B344" t="s">
        <v>34</v>
      </c>
      <c r="C344" t="s">
        <v>9</v>
      </c>
      <c r="D344">
        <v>224</v>
      </c>
      <c r="E344" s="2">
        <v>212.79</v>
      </c>
      <c r="F344" s="1">
        <v>45201</v>
      </c>
      <c r="G344" s="2">
        <v>47664.959999999999</v>
      </c>
      <c r="H344">
        <f>MONTH(product_performance_data[[#This Row],[Date_Sold]])</f>
        <v>10</v>
      </c>
      <c r="I344">
        <f>YEAR(product_performance_data[[#This Row],[Date_Sold]])</f>
        <v>2023</v>
      </c>
      <c r="J344" t="str">
        <f>TEXT(product_performance_data[[#This Row],[Date_Sold]],"ddd")</f>
        <v>Mon</v>
      </c>
    </row>
    <row r="345" spans="1:10" x14ac:dyDescent="0.3">
      <c r="A345" t="s">
        <v>747</v>
      </c>
      <c r="B345" t="s">
        <v>748</v>
      </c>
      <c r="C345" t="s">
        <v>12</v>
      </c>
      <c r="D345" s="8">
        <v>108</v>
      </c>
      <c r="E345">
        <v>434.27</v>
      </c>
      <c r="F345" s="1">
        <v>45909</v>
      </c>
      <c r="G345" s="2">
        <v>46901.159999999996</v>
      </c>
      <c r="H345">
        <f>MONTH(product_performance_data[[#This Row],[Date_Sold]])</f>
        <v>9</v>
      </c>
      <c r="I345">
        <f>YEAR(product_performance_data[[#This Row],[Date_Sold]])</f>
        <v>2025</v>
      </c>
      <c r="J345" t="str">
        <f>TEXT(product_performance_data[[#This Row],[Date_Sold]],"ddd")</f>
        <v>Tue</v>
      </c>
    </row>
    <row r="346" spans="1:10" x14ac:dyDescent="0.3">
      <c r="A346" t="s">
        <v>555</v>
      </c>
      <c r="B346" t="s">
        <v>556</v>
      </c>
      <c r="C346" t="s">
        <v>12</v>
      </c>
      <c r="D346">
        <v>122</v>
      </c>
      <c r="E346">
        <v>379.76</v>
      </c>
      <c r="F346" s="1">
        <v>45005</v>
      </c>
      <c r="G346" s="2">
        <v>46330.720000000001</v>
      </c>
      <c r="H346">
        <f>MONTH(product_performance_data[[#This Row],[Date_Sold]])</f>
        <v>3</v>
      </c>
      <c r="I346">
        <f>YEAR(product_performance_data[[#This Row],[Date_Sold]])</f>
        <v>2023</v>
      </c>
      <c r="J346" t="str">
        <f>TEXT(product_performance_data[[#This Row],[Date_Sold]],"ddd")</f>
        <v>Mon</v>
      </c>
    </row>
    <row r="347" spans="1:10" x14ac:dyDescent="0.3">
      <c r="A347" t="s">
        <v>718</v>
      </c>
      <c r="B347" t="s">
        <v>719</v>
      </c>
      <c r="C347" t="s">
        <v>12</v>
      </c>
      <c r="D347">
        <v>153</v>
      </c>
      <c r="E347">
        <v>300.64999999999998</v>
      </c>
      <c r="F347" s="1">
        <v>45205</v>
      </c>
      <c r="G347" s="2">
        <v>45999.45</v>
      </c>
      <c r="H347">
        <f>MONTH(product_performance_data[[#This Row],[Date_Sold]])</f>
        <v>10</v>
      </c>
      <c r="I347">
        <f>YEAR(product_performance_data[[#This Row],[Date_Sold]])</f>
        <v>2023</v>
      </c>
      <c r="J347" t="str">
        <f>TEXT(product_performance_data[[#This Row],[Date_Sold]],"ddd")</f>
        <v>Fri</v>
      </c>
    </row>
    <row r="348" spans="1:10" x14ac:dyDescent="0.3">
      <c r="A348" t="s">
        <v>758</v>
      </c>
      <c r="B348" t="s">
        <v>714</v>
      </c>
      <c r="C348" t="s">
        <v>30</v>
      </c>
      <c r="D348">
        <v>161</v>
      </c>
      <c r="E348">
        <v>244.51</v>
      </c>
      <c r="F348" s="1">
        <v>45259</v>
      </c>
      <c r="G348" s="2">
        <v>45749.760000000002</v>
      </c>
      <c r="H348">
        <f>MONTH(product_performance_data[[#This Row],[Date_Sold]])</f>
        <v>11</v>
      </c>
      <c r="I348">
        <f>YEAR(product_performance_data[[#This Row],[Date_Sold]])</f>
        <v>2023</v>
      </c>
      <c r="J348" t="str">
        <f>TEXT(product_performance_data[[#This Row],[Date_Sold]],"ddd")</f>
        <v>Wed</v>
      </c>
    </row>
    <row r="349" spans="1:10" x14ac:dyDescent="0.3">
      <c r="A349" t="s">
        <v>962</v>
      </c>
      <c r="B349" t="s">
        <v>963</v>
      </c>
      <c r="C349" t="s">
        <v>37</v>
      </c>
      <c r="D349">
        <v>170</v>
      </c>
      <c r="E349">
        <v>268.27</v>
      </c>
      <c r="F349" s="1">
        <v>45628</v>
      </c>
      <c r="G349" s="2">
        <v>45605.899999999994</v>
      </c>
      <c r="H349">
        <f>MONTH(product_performance_data[[#This Row],[Date_Sold]])</f>
        <v>12</v>
      </c>
      <c r="I349">
        <f>YEAR(product_performance_data[[#This Row],[Date_Sold]])</f>
        <v>2024</v>
      </c>
      <c r="J349" t="str">
        <f>TEXT(product_performance_data[[#This Row],[Date_Sold]],"ddd")</f>
        <v>Mon</v>
      </c>
    </row>
    <row r="350" spans="1:10" x14ac:dyDescent="0.3">
      <c r="A350" t="s">
        <v>35</v>
      </c>
      <c r="B350" t="s">
        <v>36</v>
      </c>
      <c r="C350" t="s">
        <v>37</v>
      </c>
      <c r="D350">
        <v>340</v>
      </c>
      <c r="E350" s="2">
        <v>131.82</v>
      </c>
      <c r="F350" s="1">
        <v>45204</v>
      </c>
      <c r="G350" s="2">
        <v>44818.799999999996</v>
      </c>
      <c r="H350">
        <f>MONTH(product_performance_data[[#This Row],[Date_Sold]])</f>
        <v>10</v>
      </c>
      <c r="I350">
        <f>YEAR(product_performance_data[[#This Row],[Date_Sold]])</f>
        <v>2023</v>
      </c>
      <c r="J350" t="str">
        <f>TEXT(product_performance_data[[#This Row],[Date_Sold]],"ddd")</f>
        <v>Thu</v>
      </c>
    </row>
    <row r="351" spans="1:10" x14ac:dyDescent="0.3">
      <c r="A351" t="s">
        <v>84</v>
      </c>
      <c r="B351" t="s">
        <v>85</v>
      </c>
      <c r="C351" t="s">
        <v>9</v>
      </c>
      <c r="D351">
        <v>262</v>
      </c>
      <c r="E351" s="2">
        <v>166.69</v>
      </c>
      <c r="F351" s="1">
        <v>45778</v>
      </c>
      <c r="G351" s="2">
        <v>43672.78</v>
      </c>
      <c r="H351">
        <f>MONTH(product_performance_data[[#This Row],[Date_Sold]])</f>
        <v>5</v>
      </c>
      <c r="I351">
        <f>YEAR(product_performance_data[[#This Row],[Date_Sold]])</f>
        <v>2025</v>
      </c>
      <c r="J351" t="str">
        <f>TEXT(product_performance_data[[#This Row],[Date_Sold]],"ddd")</f>
        <v>Thu</v>
      </c>
    </row>
    <row r="352" spans="1:10" x14ac:dyDescent="0.3">
      <c r="A352" t="s">
        <v>420</v>
      </c>
      <c r="B352" t="s">
        <v>421</v>
      </c>
      <c r="C352" t="s">
        <v>37</v>
      </c>
      <c r="D352">
        <v>180</v>
      </c>
      <c r="E352">
        <v>241.47</v>
      </c>
      <c r="F352" s="1">
        <v>45183</v>
      </c>
      <c r="G352" s="2">
        <v>43464.6</v>
      </c>
      <c r="H352">
        <f>MONTH(product_performance_data[[#This Row],[Date_Sold]])</f>
        <v>9</v>
      </c>
      <c r="I352">
        <f>YEAR(product_performance_data[[#This Row],[Date_Sold]])</f>
        <v>2023</v>
      </c>
      <c r="J352" t="str">
        <f>TEXT(product_performance_data[[#This Row],[Date_Sold]],"ddd")</f>
        <v>Thu</v>
      </c>
    </row>
    <row r="353" spans="1:10" x14ac:dyDescent="0.3">
      <c r="A353" t="s">
        <v>312</v>
      </c>
      <c r="B353" t="s">
        <v>313</v>
      </c>
      <c r="C353" t="s">
        <v>9</v>
      </c>
      <c r="D353">
        <v>240</v>
      </c>
      <c r="E353" s="12">
        <v>257.77</v>
      </c>
      <c r="F353" s="1">
        <v>45891</v>
      </c>
      <c r="G353" s="2">
        <v>43363.200000000004</v>
      </c>
      <c r="H353">
        <f>MONTH(product_performance_data[[#This Row],[Date_Sold]])</f>
        <v>8</v>
      </c>
      <c r="I353">
        <f>YEAR(product_performance_data[[#This Row],[Date_Sold]])</f>
        <v>2025</v>
      </c>
      <c r="J353" t="str">
        <f>TEXT(product_performance_data[[#This Row],[Date_Sold]],"ddd")</f>
        <v>Fri</v>
      </c>
    </row>
    <row r="354" spans="1:10" x14ac:dyDescent="0.3">
      <c r="A354" t="s">
        <v>927</v>
      </c>
      <c r="B354" t="s">
        <v>928</v>
      </c>
      <c r="C354" t="s">
        <v>63</v>
      </c>
      <c r="D354">
        <v>108</v>
      </c>
      <c r="E354">
        <v>400.77</v>
      </c>
      <c r="F354" s="1">
        <v>45874</v>
      </c>
      <c r="G354" s="2">
        <v>43283.159999999996</v>
      </c>
      <c r="H354">
        <f>MONTH(product_performance_data[[#This Row],[Date_Sold]])</f>
        <v>8</v>
      </c>
      <c r="I354">
        <f>YEAR(product_performance_data[[#This Row],[Date_Sold]])</f>
        <v>2025</v>
      </c>
      <c r="J354" t="str">
        <f>TEXT(product_performance_data[[#This Row],[Date_Sold]],"ddd")</f>
        <v>Tue</v>
      </c>
    </row>
    <row r="355" spans="1:10" x14ac:dyDescent="0.3">
      <c r="A355" t="s">
        <v>471</v>
      </c>
      <c r="B355" t="s">
        <v>472</v>
      </c>
      <c r="C355" t="s">
        <v>37</v>
      </c>
      <c r="D355">
        <v>482</v>
      </c>
      <c r="E355">
        <v>88.99</v>
      </c>
      <c r="F355" s="1">
        <v>45479</v>
      </c>
      <c r="G355" s="2">
        <v>42893.18</v>
      </c>
      <c r="H355">
        <f>MONTH(product_performance_data[[#This Row],[Date_Sold]])</f>
        <v>7</v>
      </c>
      <c r="I355">
        <f>YEAR(product_performance_data[[#This Row],[Date_Sold]])</f>
        <v>2024</v>
      </c>
      <c r="J355" t="str">
        <f>TEXT(product_performance_data[[#This Row],[Date_Sold]],"ddd")</f>
        <v>Sat</v>
      </c>
    </row>
    <row r="356" spans="1:10" x14ac:dyDescent="0.3">
      <c r="A356" t="s">
        <v>170</v>
      </c>
      <c r="B356" t="s">
        <v>171</v>
      </c>
      <c r="C356" t="s">
        <v>63</v>
      </c>
      <c r="D356">
        <v>464</v>
      </c>
      <c r="E356">
        <v>91.79</v>
      </c>
      <c r="F356" s="1">
        <v>45067</v>
      </c>
      <c r="G356" s="2">
        <v>42590.560000000005</v>
      </c>
      <c r="H356">
        <f>MONTH(product_performance_data[[#This Row],[Date_Sold]])</f>
        <v>5</v>
      </c>
      <c r="I356">
        <f>YEAR(product_performance_data[[#This Row],[Date_Sold]])</f>
        <v>2023</v>
      </c>
      <c r="J356" t="str">
        <f>TEXT(product_performance_data[[#This Row],[Date_Sold]],"ddd")</f>
        <v>Sun</v>
      </c>
    </row>
    <row r="357" spans="1:10" x14ac:dyDescent="0.3">
      <c r="A357" t="s">
        <v>779</v>
      </c>
      <c r="B357" t="s">
        <v>780</v>
      </c>
      <c r="C357" t="s">
        <v>23</v>
      </c>
      <c r="D357">
        <v>113</v>
      </c>
      <c r="E357">
        <v>369.73</v>
      </c>
      <c r="F357" s="1">
        <v>44943</v>
      </c>
      <c r="G357" s="2">
        <v>41779.490000000005</v>
      </c>
      <c r="H357">
        <f>MONTH(product_performance_data[[#This Row],[Date_Sold]])</f>
        <v>1</v>
      </c>
      <c r="I357">
        <f>YEAR(product_performance_data[[#This Row],[Date_Sold]])</f>
        <v>2023</v>
      </c>
      <c r="J357" t="str">
        <f>TEXT(product_performance_data[[#This Row],[Date_Sold]],"ddd")</f>
        <v>Tue</v>
      </c>
    </row>
    <row r="358" spans="1:10" x14ac:dyDescent="0.3">
      <c r="A358" t="s">
        <v>907</v>
      </c>
      <c r="B358" t="s">
        <v>137</v>
      </c>
      <c r="C358" t="s">
        <v>12</v>
      </c>
      <c r="D358">
        <v>201</v>
      </c>
      <c r="E358">
        <v>207.22</v>
      </c>
      <c r="F358" s="1">
        <v>45006</v>
      </c>
      <c r="G358" s="2">
        <v>41651.22</v>
      </c>
      <c r="H358">
        <f>MONTH(product_performance_data[[#This Row],[Date_Sold]])</f>
        <v>3</v>
      </c>
      <c r="I358">
        <f>YEAR(product_performance_data[[#This Row],[Date_Sold]])</f>
        <v>2023</v>
      </c>
      <c r="J358" t="str">
        <f>TEXT(product_performance_data[[#This Row],[Date_Sold]],"ddd")</f>
        <v>Tue</v>
      </c>
    </row>
    <row r="359" spans="1:10" x14ac:dyDescent="0.3">
      <c r="A359" t="s">
        <v>433</v>
      </c>
      <c r="B359" t="s">
        <v>434</v>
      </c>
      <c r="C359" t="s">
        <v>63</v>
      </c>
      <c r="D359">
        <v>252</v>
      </c>
      <c r="E359">
        <v>164.73</v>
      </c>
      <c r="F359" s="1">
        <v>45133</v>
      </c>
      <c r="G359" s="2">
        <v>41511.96</v>
      </c>
      <c r="H359">
        <f>MONTH(product_performance_data[[#This Row],[Date_Sold]])</f>
        <v>7</v>
      </c>
      <c r="I359">
        <f>YEAR(product_performance_data[[#This Row],[Date_Sold]])</f>
        <v>2023</v>
      </c>
      <c r="J359" t="str">
        <f>TEXT(product_performance_data[[#This Row],[Date_Sold]],"ddd")</f>
        <v>Wed</v>
      </c>
    </row>
    <row r="360" spans="1:10" x14ac:dyDescent="0.3">
      <c r="A360" t="s">
        <v>673</v>
      </c>
      <c r="B360" t="s">
        <v>674</v>
      </c>
      <c r="C360" t="s">
        <v>9</v>
      </c>
      <c r="D360">
        <v>157</v>
      </c>
      <c r="E360">
        <v>260.04000000000002</v>
      </c>
      <c r="F360" s="1">
        <v>45357</v>
      </c>
      <c r="G360" s="2">
        <v>40826.280000000006</v>
      </c>
      <c r="H360">
        <f>MONTH(product_performance_data[[#This Row],[Date_Sold]])</f>
        <v>3</v>
      </c>
      <c r="I360">
        <f>YEAR(product_performance_data[[#This Row],[Date_Sold]])</f>
        <v>2024</v>
      </c>
      <c r="J360" t="str">
        <f>TEXT(product_performance_data[[#This Row],[Date_Sold]],"ddd")</f>
        <v>Wed</v>
      </c>
    </row>
    <row r="361" spans="1:10" x14ac:dyDescent="0.3">
      <c r="A361" t="s">
        <v>805</v>
      </c>
      <c r="B361" t="s">
        <v>806</v>
      </c>
      <c r="C361" t="s">
        <v>63</v>
      </c>
      <c r="D361">
        <v>347</v>
      </c>
      <c r="E361">
        <v>116.54</v>
      </c>
      <c r="F361" s="1">
        <v>45189</v>
      </c>
      <c r="G361" s="2">
        <v>40439.380000000005</v>
      </c>
      <c r="H361">
        <f>MONTH(product_performance_data[[#This Row],[Date_Sold]])</f>
        <v>9</v>
      </c>
      <c r="I361">
        <f>YEAR(product_performance_data[[#This Row],[Date_Sold]])</f>
        <v>2023</v>
      </c>
      <c r="J361" t="str">
        <f>TEXT(product_performance_data[[#This Row],[Date_Sold]],"ddd")</f>
        <v>Wed</v>
      </c>
    </row>
    <row r="362" spans="1:10" x14ac:dyDescent="0.3">
      <c r="A362" t="s">
        <v>612</v>
      </c>
      <c r="B362" t="s">
        <v>613</v>
      </c>
      <c r="C362" t="s">
        <v>30</v>
      </c>
      <c r="D362">
        <v>132</v>
      </c>
      <c r="E362">
        <v>306</v>
      </c>
      <c r="F362" s="1">
        <v>45128</v>
      </c>
      <c r="G362" s="2">
        <v>40392</v>
      </c>
      <c r="H362">
        <f>MONTH(product_performance_data[[#This Row],[Date_Sold]])</f>
        <v>7</v>
      </c>
      <c r="I362">
        <f>YEAR(product_performance_data[[#This Row],[Date_Sold]])</f>
        <v>2023</v>
      </c>
      <c r="J362" t="str">
        <f>TEXT(product_performance_data[[#This Row],[Date_Sold]],"ddd")</f>
        <v>Fri</v>
      </c>
    </row>
    <row r="363" spans="1:10" x14ac:dyDescent="0.3">
      <c r="A363" t="s">
        <v>258</v>
      </c>
      <c r="B363" t="s">
        <v>259</v>
      </c>
      <c r="C363" t="s">
        <v>63</v>
      </c>
      <c r="D363">
        <v>226</v>
      </c>
      <c r="E363">
        <v>177.43</v>
      </c>
      <c r="F363" s="1">
        <v>45431</v>
      </c>
      <c r="G363" s="2">
        <v>40099.18</v>
      </c>
      <c r="H363">
        <f>MONTH(product_performance_data[[#This Row],[Date_Sold]])</f>
        <v>5</v>
      </c>
      <c r="I363">
        <f>YEAR(product_performance_data[[#This Row],[Date_Sold]])</f>
        <v>2024</v>
      </c>
      <c r="J363" t="str">
        <f>TEXT(product_performance_data[[#This Row],[Date_Sold]],"ddd")</f>
        <v>Sun</v>
      </c>
    </row>
    <row r="364" spans="1:10" x14ac:dyDescent="0.3">
      <c r="A364" t="s">
        <v>856</v>
      </c>
      <c r="B364" t="s">
        <v>857</v>
      </c>
      <c r="C364" t="s">
        <v>9</v>
      </c>
      <c r="D364">
        <v>384</v>
      </c>
      <c r="E364" s="12">
        <v>257.77</v>
      </c>
      <c r="F364" s="1">
        <v>45366</v>
      </c>
      <c r="G364" s="2">
        <v>39843.840000000004</v>
      </c>
      <c r="H364">
        <f>MONTH(product_performance_data[[#This Row],[Date_Sold]])</f>
        <v>3</v>
      </c>
      <c r="I364">
        <f>YEAR(product_performance_data[[#This Row],[Date_Sold]])</f>
        <v>2024</v>
      </c>
      <c r="J364" t="str">
        <f>TEXT(product_performance_data[[#This Row],[Date_Sold]],"ddd")</f>
        <v>Fri</v>
      </c>
    </row>
    <row r="365" spans="1:10" x14ac:dyDescent="0.3">
      <c r="A365" t="s">
        <v>323</v>
      </c>
      <c r="B365" t="s">
        <v>324</v>
      </c>
      <c r="C365" t="s">
        <v>63</v>
      </c>
      <c r="D365">
        <v>789</v>
      </c>
      <c r="E365">
        <v>50.39</v>
      </c>
      <c r="F365" s="1">
        <v>45398</v>
      </c>
      <c r="G365" s="2">
        <v>39757.71</v>
      </c>
      <c r="H365">
        <f>MONTH(product_performance_data[[#This Row],[Date_Sold]])</f>
        <v>4</v>
      </c>
      <c r="I365">
        <f>YEAR(product_performance_data[[#This Row],[Date_Sold]])</f>
        <v>2024</v>
      </c>
      <c r="J365" t="str">
        <f>TEXT(product_performance_data[[#This Row],[Date_Sold]],"ddd")</f>
        <v>Tue</v>
      </c>
    </row>
    <row r="366" spans="1:10" x14ac:dyDescent="0.3">
      <c r="A366" t="s">
        <v>200</v>
      </c>
      <c r="B366" t="s">
        <v>201</v>
      </c>
      <c r="C366" t="s">
        <v>30</v>
      </c>
      <c r="D366">
        <v>115</v>
      </c>
      <c r="E366">
        <v>343.56</v>
      </c>
      <c r="F366" s="1">
        <v>45006</v>
      </c>
      <c r="G366" s="2">
        <v>39509.4</v>
      </c>
      <c r="H366">
        <f>MONTH(product_performance_data[[#This Row],[Date_Sold]])</f>
        <v>3</v>
      </c>
      <c r="I366">
        <f>YEAR(product_performance_data[[#This Row],[Date_Sold]])</f>
        <v>2023</v>
      </c>
      <c r="J366" t="str">
        <f>TEXT(product_performance_data[[#This Row],[Date_Sold]],"ddd")</f>
        <v>Tue</v>
      </c>
    </row>
    <row r="367" spans="1:10" x14ac:dyDescent="0.3">
      <c r="A367" t="s">
        <v>756</v>
      </c>
      <c r="B367" t="s">
        <v>757</v>
      </c>
      <c r="C367" t="s">
        <v>9</v>
      </c>
      <c r="D367">
        <v>413</v>
      </c>
      <c r="E367">
        <v>95.23</v>
      </c>
      <c r="F367" s="1">
        <v>45262</v>
      </c>
      <c r="G367" s="2">
        <v>39329.990000000005</v>
      </c>
      <c r="H367">
        <f>MONTH(product_performance_data[[#This Row],[Date_Sold]])</f>
        <v>12</v>
      </c>
      <c r="I367">
        <f>YEAR(product_performance_data[[#This Row],[Date_Sold]])</f>
        <v>2023</v>
      </c>
      <c r="J367" t="str">
        <f>TEXT(product_performance_data[[#This Row],[Date_Sold]],"ddd")</f>
        <v>Sat</v>
      </c>
    </row>
    <row r="368" spans="1:10" x14ac:dyDescent="0.3">
      <c r="A368" t="s">
        <v>966</v>
      </c>
      <c r="B368" t="s">
        <v>967</v>
      </c>
      <c r="C368" t="s">
        <v>37</v>
      </c>
      <c r="D368">
        <v>332</v>
      </c>
      <c r="E368">
        <v>118.37</v>
      </c>
      <c r="F368" s="1">
        <v>45250</v>
      </c>
      <c r="G368" s="2">
        <v>39298.840000000004</v>
      </c>
      <c r="H368">
        <f>MONTH(product_performance_data[[#This Row],[Date_Sold]])</f>
        <v>11</v>
      </c>
      <c r="I368">
        <f>YEAR(product_performance_data[[#This Row],[Date_Sold]])</f>
        <v>2023</v>
      </c>
      <c r="J368" t="str">
        <f>TEXT(product_performance_data[[#This Row],[Date_Sold]],"ddd")</f>
        <v>Mon</v>
      </c>
    </row>
    <row r="369" spans="1:10" x14ac:dyDescent="0.3">
      <c r="A369" t="s">
        <v>322</v>
      </c>
      <c r="B369" t="s">
        <v>245</v>
      </c>
      <c r="C369" t="s">
        <v>63</v>
      </c>
      <c r="D369">
        <v>849</v>
      </c>
      <c r="E369">
        <v>46.23</v>
      </c>
      <c r="F369" s="1">
        <v>45787</v>
      </c>
      <c r="G369" s="2">
        <v>39249.269999999997</v>
      </c>
      <c r="H369">
        <f>MONTH(product_performance_data[[#This Row],[Date_Sold]])</f>
        <v>5</v>
      </c>
      <c r="I369">
        <f>YEAR(product_performance_data[[#This Row],[Date_Sold]])</f>
        <v>2025</v>
      </c>
      <c r="J369" t="str">
        <f>TEXT(product_performance_data[[#This Row],[Date_Sold]],"ddd")</f>
        <v>Sat</v>
      </c>
    </row>
    <row r="370" spans="1:10" x14ac:dyDescent="0.3">
      <c r="A370" t="s">
        <v>950</v>
      </c>
      <c r="B370" t="s">
        <v>951</v>
      </c>
      <c r="C370" t="s">
        <v>63</v>
      </c>
      <c r="D370">
        <v>125</v>
      </c>
      <c r="E370">
        <v>313.93</v>
      </c>
      <c r="F370" s="1">
        <v>45125</v>
      </c>
      <c r="G370" s="2">
        <v>39241.25</v>
      </c>
      <c r="H370">
        <f>MONTH(product_performance_data[[#This Row],[Date_Sold]])</f>
        <v>7</v>
      </c>
      <c r="I370">
        <f>YEAR(product_performance_data[[#This Row],[Date_Sold]])</f>
        <v>2023</v>
      </c>
      <c r="J370" t="str">
        <f>TEXT(product_performance_data[[#This Row],[Date_Sold]],"ddd")</f>
        <v>Tue</v>
      </c>
    </row>
    <row r="371" spans="1:10" x14ac:dyDescent="0.3">
      <c r="A371" t="s">
        <v>475</v>
      </c>
      <c r="B371" t="s">
        <v>476</v>
      </c>
      <c r="C371" t="s">
        <v>63</v>
      </c>
      <c r="D371">
        <v>199</v>
      </c>
      <c r="E371">
        <v>197.19</v>
      </c>
      <c r="F371" s="1">
        <v>45066</v>
      </c>
      <c r="G371" s="2">
        <v>39240.81</v>
      </c>
      <c r="H371">
        <f>MONTH(product_performance_data[[#This Row],[Date_Sold]])</f>
        <v>5</v>
      </c>
      <c r="I371">
        <f>YEAR(product_performance_data[[#This Row],[Date_Sold]])</f>
        <v>2023</v>
      </c>
      <c r="J371" t="str">
        <f>TEXT(product_performance_data[[#This Row],[Date_Sold]],"ddd")</f>
        <v>Sat</v>
      </c>
    </row>
    <row r="372" spans="1:10" x14ac:dyDescent="0.3">
      <c r="A372" t="s">
        <v>284</v>
      </c>
      <c r="B372" t="s">
        <v>285</v>
      </c>
      <c r="C372" t="s">
        <v>9</v>
      </c>
      <c r="D372">
        <v>138</v>
      </c>
      <c r="E372">
        <v>283.12</v>
      </c>
      <c r="F372" s="1">
        <v>45488</v>
      </c>
      <c r="G372" s="2">
        <v>39070.559999999998</v>
      </c>
      <c r="H372">
        <f>MONTH(product_performance_data[[#This Row],[Date_Sold]])</f>
        <v>7</v>
      </c>
      <c r="I372">
        <f>YEAR(product_performance_data[[#This Row],[Date_Sold]])</f>
        <v>2024</v>
      </c>
      <c r="J372" t="str">
        <f>TEXT(product_performance_data[[#This Row],[Date_Sold]],"ddd")</f>
        <v>Mon</v>
      </c>
    </row>
    <row r="373" spans="1:10" x14ac:dyDescent="0.3">
      <c r="A373" t="s">
        <v>483</v>
      </c>
      <c r="B373" t="s">
        <v>484</v>
      </c>
      <c r="C373" t="s">
        <v>30</v>
      </c>
      <c r="D373">
        <v>292</v>
      </c>
      <c r="E373">
        <v>133.68</v>
      </c>
      <c r="F373" s="1">
        <v>45798</v>
      </c>
      <c r="G373" s="2">
        <v>39034.560000000005</v>
      </c>
      <c r="H373">
        <f>MONTH(product_performance_data[[#This Row],[Date_Sold]])</f>
        <v>5</v>
      </c>
      <c r="I373">
        <f>YEAR(product_performance_data[[#This Row],[Date_Sold]])</f>
        <v>2025</v>
      </c>
      <c r="J373" t="str">
        <f>TEXT(product_performance_data[[#This Row],[Date_Sold]],"ddd")</f>
        <v>Wed</v>
      </c>
    </row>
    <row r="374" spans="1:10" x14ac:dyDescent="0.3">
      <c r="A374" t="s">
        <v>947</v>
      </c>
      <c r="B374" t="s">
        <v>49</v>
      </c>
      <c r="C374" t="s">
        <v>12</v>
      </c>
      <c r="D374">
        <v>108</v>
      </c>
      <c r="E374">
        <v>358.32</v>
      </c>
      <c r="F374" s="1">
        <v>45094</v>
      </c>
      <c r="G374" s="2">
        <v>38698.559999999998</v>
      </c>
      <c r="H374">
        <f>MONTH(product_performance_data[[#This Row],[Date_Sold]])</f>
        <v>6</v>
      </c>
      <c r="I374">
        <f>YEAR(product_performance_data[[#This Row],[Date_Sold]])</f>
        <v>2023</v>
      </c>
      <c r="J374" t="str">
        <f>TEXT(product_performance_data[[#This Row],[Date_Sold]],"ddd")</f>
        <v>Sat</v>
      </c>
    </row>
    <row r="375" spans="1:10" x14ac:dyDescent="0.3">
      <c r="A375" t="s">
        <v>901</v>
      </c>
      <c r="B375" t="s">
        <v>902</v>
      </c>
      <c r="C375" t="s">
        <v>9</v>
      </c>
      <c r="D375">
        <v>668</v>
      </c>
      <c r="E375">
        <v>57.82</v>
      </c>
      <c r="F375" s="1">
        <v>45107</v>
      </c>
      <c r="G375" s="2">
        <v>38623.760000000002</v>
      </c>
      <c r="H375">
        <f>MONTH(product_performance_data[[#This Row],[Date_Sold]])</f>
        <v>6</v>
      </c>
      <c r="I375">
        <f>YEAR(product_performance_data[[#This Row],[Date_Sold]])</f>
        <v>2023</v>
      </c>
      <c r="J375" t="str">
        <f>TEXT(product_performance_data[[#This Row],[Date_Sold]],"ddd")</f>
        <v>Fri</v>
      </c>
    </row>
    <row r="376" spans="1:10" x14ac:dyDescent="0.3">
      <c r="A376" t="s">
        <v>968</v>
      </c>
      <c r="B376" t="s">
        <v>969</v>
      </c>
      <c r="C376" t="s">
        <v>23</v>
      </c>
      <c r="D376">
        <v>137</v>
      </c>
      <c r="E376">
        <v>273.70999999999998</v>
      </c>
      <c r="F376" s="1">
        <v>45505</v>
      </c>
      <c r="G376" s="2">
        <v>37498.269999999997</v>
      </c>
      <c r="H376">
        <f>MONTH(product_performance_data[[#This Row],[Date_Sold]])</f>
        <v>8</v>
      </c>
      <c r="I376">
        <f>YEAR(product_performance_data[[#This Row],[Date_Sold]])</f>
        <v>2024</v>
      </c>
      <c r="J376" t="str">
        <f>TEXT(product_performance_data[[#This Row],[Date_Sold]],"ddd")</f>
        <v>Thu</v>
      </c>
    </row>
    <row r="377" spans="1:10" x14ac:dyDescent="0.3">
      <c r="A377" t="s">
        <v>495</v>
      </c>
      <c r="B377" t="s">
        <v>496</v>
      </c>
      <c r="C377" t="s">
        <v>30</v>
      </c>
      <c r="D377">
        <v>268</v>
      </c>
      <c r="E377">
        <v>139.12</v>
      </c>
      <c r="F377" s="1">
        <v>45396</v>
      </c>
      <c r="G377" s="2">
        <v>37284.160000000003</v>
      </c>
      <c r="H377">
        <f>MONTH(product_performance_data[[#This Row],[Date_Sold]])</f>
        <v>4</v>
      </c>
      <c r="I377">
        <f>YEAR(product_performance_data[[#This Row],[Date_Sold]])</f>
        <v>2024</v>
      </c>
      <c r="J377" t="str">
        <f>TEXT(product_performance_data[[#This Row],[Date_Sold]],"ddd")</f>
        <v>Sun</v>
      </c>
    </row>
    <row r="378" spans="1:10" x14ac:dyDescent="0.3">
      <c r="A378" t="s">
        <v>158</v>
      </c>
      <c r="B378" t="s">
        <v>159</v>
      </c>
      <c r="C378" t="s">
        <v>23</v>
      </c>
      <c r="D378">
        <v>574</v>
      </c>
      <c r="E378">
        <v>64.48</v>
      </c>
      <c r="F378" s="1">
        <v>45401</v>
      </c>
      <c r="G378" s="2">
        <v>37011.520000000004</v>
      </c>
      <c r="H378">
        <f>MONTH(product_performance_data[[#This Row],[Date_Sold]])</f>
        <v>4</v>
      </c>
      <c r="I378">
        <f>YEAR(product_performance_data[[#This Row],[Date_Sold]])</f>
        <v>2024</v>
      </c>
      <c r="J378" t="str">
        <f>TEXT(product_performance_data[[#This Row],[Date_Sold]],"ddd")</f>
        <v>Fri</v>
      </c>
    </row>
    <row r="379" spans="1:10" x14ac:dyDescent="0.3">
      <c r="A379" t="s">
        <v>15</v>
      </c>
      <c r="B379" t="s">
        <v>16</v>
      </c>
      <c r="C379" t="s">
        <v>12</v>
      </c>
      <c r="D379">
        <v>280</v>
      </c>
      <c r="E379" s="2">
        <v>130.81</v>
      </c>
      <c r="F379" s="1">
        <v>45427</v>
      </c>
      <c r="G379" s="2">
        <v>36626.800000000003</v>
      </c>
      <c r="H379">
        <f>MONTH(product_performance_data[[#This Row],[Date_Sold]])</f>
        <v>5</v>
      </c>
      <c r="I379">
        <f>YEAR(product_performance_data[[#This Row],[Date_Sold]])</f>
        <v>2024</v>
      </c>
      <c r="J379" t="str">
        <f>TEXT(product_performance_data[[#This Row],[Date_Sold]],"ddd")</f>
        <v>Wed</v>
      </c>
    </row>
    <row r="380" spans="1:10" x14ac:dyDescent="0.3">
      <c r="A380" t="s">
        <v>28</v>
      </c>
      <c r="B380" t="s">
        <v>29</v>
      </c>
      <c r="C380" t="s">
        <v>30</v>
      </c>
      <c r="D380">
        <v>131</v>
      </c>
      <c r="E380" s="2">
        <v>278.64999999999998</v>
      </c>
      <c r="F380" s="1">
        <v>45615</v>
      </c>
      <c r="G380" s="2">
        <v>36503.149999999994</v>
      </c>
      <c r="H380">
        <f>MONTH(product_performance_data[[#This Row],[Date_Sold]])</f>
        <v>11</v>
      </c>
      <c r="I380">
        <f>YEAR(product_performance_data[[#This Row],[Date_Sold]])</f>
        <v>2024</v>
      </c>
      <c r="J380" t="str">
        <f>TEXT(product_performance_data[[#This Row],[Date_Sold]],"ddd")</f>
        <v>Tue</v>
      </c>
    </row>
    <row r="381" spans="1:10" x14ac:dyDescent="0.3">
      <c r="A381" t="s">
        <v>717</v>
      </c>
      <c r="B381" t="s">
        <v>397</v>
      </c>
      <c r="C381" t="s">
        <v>30</v>
      </c>
      <c r="D381">
        <v>773</v>
      </c>
      <c r="E381">
        <v>46.84</v>
      </c>
      <c r="F381" s="1">
        <v>45907</v>
      </c>
      <c r="G381" s="2">
        <v>36207.32</v>
      </c>
      <c r="H381">
        <f>MONTH(product_performance_data[[#This Row],[Date_Sold]])</f>
        <v>9</v>
      </c>
      <c r="I381">
        <f>YEAR(product_performance_data[[#This Row],[Date_Sold]])</f>
        <v>2025</v>
      </c>
      <c r="J381" t="str">
        <f>TEXT(product_performance_data[[#This Row],[Date_Sold]],"ddd")</f>
        <v>Sun</v>
      </c>
    </row>
    <row r="382" spans="1:10" x14ac:dyDescent="0.3">
      <c r="A382" t="s">
        <v>837</v>
      </c>
      <c r="B382" t="s">
        <v>838</v>
      </c>
      <c r="C382" t="s">
        <v>63</v>
      </c>
      <c r="D382">
        <v>144</v>
      </c>
      <c r="E382">
        <v>247.92</v>
      </c>
      <c r="F382" s="1">
        <v>45637</v>
      </c>
      <c r="G382" s="2">
        <v>35700.479999999996</v>
      </c>
      <c r="H382">
        <f>MONTH(product_performance_data[[#This Row],[Date_Sold]])</f>
        <v>12</v>
      </c>
      <c r="I382">
        <f>YEAR(product_performance_data[[#This Row],[Date_Sold]])</f>
        <v>2024</v>
      </c>
      <c r="J382" t="str">
        <f>TEXT(product_performance_data[[#This Row],[Date_Sold]],"ddd")</f>
        <v>Wed</v>
      </c>
    </row>
    <row r="383" spans="1:10" x14ac:dyDescent="0.3">
      <c r="A383" t="s">
        <v>335</v>
      </c>
      <c r="B383" t="s">
        <v>336</v>
      </c>
      <c r="C383" t="s">
        <v>23</v>
      </c>
      <c r="D383">
        <v>583</v>
      </c>
      <c r="E383">
        <v>61.16</v>
      </c>
      <c r="F383" s="1">
        <v>45209</v>
      </c>
      <c r="G383" s="2">
        <v>35656.28</v>
      </c>
      <c r="H383">
        <f>MONTH(product_performance_data[[#This Row],[Date_Sold]])</f>
        <v>10</v>
      </c>
      <c r="I383">
        <f>YEAR(product_performance_data[[#This Row],[Date_Sold]])</f>
        <v>2023</v>
      </c>
      <c r="J383" t="str">
        <f>TEXT(product_performance_data[[#This Row],[Date_Sold]],"ddd")</f>
        <v>Tue</v>
      </c>
    </row>
    <row r="384" spans="1:10" x14ac:dyDescent="0.3">
      <c r="A384" t="s">
        <v>269</v>
      </c>
      <c r="B384" t="s">
        <v>270</v>
      </c>
      <c r="C384" t="s">
        <v>12</v>
      </c>
      <c r="D384">
        <v>166</v>
      </c>
      <c r="E384">
        <v>214.62</v>
      </c>
      <c r="F384" s="1">
        <v>45217</v>
      </c>
      <c r="G384" s="2">
        <v>35626.92</v>
      </c>
      <c r="H384">
        <f>MONTH(product_performance_data[[#This Row],[Date_Sold]])</f>
        <v>10</v>
      </c>
      <c r="I384">
        <f>YEAR(product_performance_data[[#This Row],[Date_Sold]])</f>
        <v>2023</v>
      </c>
      <c r="J384" t="str">
        <f>TEXT(product_performance_data[[#This Row],[Date_Sold]],"ddd")</f>
        <v>Wed</v>
      </c>
    </row>
    <row r="385" spans="1:10" x14ac:dyDescent="0.3">
      <c r="A385" t="s">
        <v>812</v>
      </c>
      <c r="B385" t="s">
        <v>813</v>
      </c>
      <c r="C385" t="s">
        <v>23</v>
      </c>
      <c r="D385">
        <v>729</v>
      </c>
      <c r="E385">
        <v>48.5</v>
      </c>
      <c r="F385" s="1">
        <v>45123</v>
      </c>
      <c r="G385" s="2">
        <v>35356.5</v>
      </c>
      <c r="H385">
        <f>MONTH(product_performance_data[[#This Row],[Date_Sold]])</f>
        <v>7</v>
      </c>
      <c r="I385">
        <f>YEAR(product_performance_data[[#This Row],[Date_Sold]])</f>
        <v>2023</v>
      </c>
      <c r="J385" t="str">
        <f>TEXT(product_performance_data[[#This Row],[Date_Sold]],"ddd")</f>
        <v>Sun</v>
      </c>
    </row>
    <row r="386" spans="1:10" x14ac:dyDescent="0.3">
      <c r="A386" t="s">
        <v>318</v>
      </c>
      <c r="B386" t="s">
        <v>319</v>
      </c>
      <c r="C386" t="s">
        <v>30</v>
      </c>
      <c r="D386">
        <v>144</v>
      </c>
      <c r="E386">
        <v>243.85</v>
      </c>
      <c r="F386" s="1">
        <v>45658</v>
      </c>
      <c r="G386" s="2">
        <v>35114.400000000001</v>
      </c>
      <c r="H386">
        <f>MONTH(product_performance_data[[#This Row],[Date_Sold]])</f>
        <v>1</v>
      </c>
      <c r="I386">
        <f>YEAR(product_performance_data[[#This Row],[Date_Sold]])</f>
        <v>2025</v>
      </c>
      <c r="J386" t="str">
        <f>TEXT(product_performance_data[[#This Row],[Date_Sold]],"ddd")</f>
        <v>Wed</v>
      </c>
    </row>
    <row r="387" spans="1:10" x14ac:dyDescent="0.3">
      <c r="A387" t="s">
        <v>914</v>
      </c>
      <c r="B387" t="s">
        <v>915</v>
      </c>
      <c r="C387" t="s">
        <v>23</v>
      </c>
      <c r="D387">
        <v>181</v>
      </c>
      <c r="E387">
        <v>192.72</v>
      </c>
      <c r="F387" s="1">
        <v>45816</v>
      </c>
      <c r="G387" s="2">
        <v>34882.32</v>
      </c>
      <c r="H387">
        <f>MONTH(product_performance_data[[#This Row],[Date_Sold]])</f>
        <v>6</v>
      </c>
      <c r="I387">
        <f>YEAR(product_performance_data[[#This Row],[Date_Sold]])</f>
        <v>2025</v>
      </c>
      <c r="J387" t="str">
        <f>TEXT(product_performance_data[[#This Row],[Date_Sold]],"ddd")</f>
        <v>Sun</v>
      </c>
    </row>
    <row r="388" spans="1:10" x14ac:dyDescent="0.3">
      <c r="A388" t="s">
        <v>44</v>
      </c>
      <c r="B388" t="s">
        <v>45</v>
      </c>
      <c r="C388" t="s">
        <v>12</v>
      </c>
      <c r="D388">
        <v>109</v>
      </c>
      <c r="E388" s="2">
        <v>315.81</v>
      </c>
      <c r="F388" s="1">
        <v>45060</v>
      </c>
      <c r="G388" s="2">
        <v>34423.29</v>
      </c>
      <c r="H388">
        <f>MONTH(product_performance_data[[#This Row],[Date_Sold]])</f>
        <v>5</v>
      </c>
      <c r="I388">
        <f>YEAR(product_performance_data[[#This Row],[Date_Sold]])</f>
        <v>2023</v>
      </c>
      <c r="J388" t="str">
        <f>TEXT(product_performance_data[[#This Row],[Date_Sold]],"ddd")</f>
        <v>Sun</v>
      </c>
    </row>
    <row r="389" spans="1:10" x14ac:dyDescent="0.3">
      <c r="A389" t="s">
        <v>665</v>
      </c>
      <c r="B389" t="s">
        <v>666</v>
      </c>
      <c r="C389" t="s">
        <v>37</v>
      </c>
      <c r="D389">
        <v>355</v>
      </c>
      <c r="E389">
        <v>94.13</v>
      </c>
      <c r="F389" s="1">
        <v>45260</v>
      </c>
      <c r="G389" s="2">
        <v>33416.15</v>
      </c>
      <c r="H389">
        <f>MONTH(product_performance_data[[#This Row],[Date_Sold]])</f>
        <v>11</v>
      </c>
      <c r="I389">
        <f>YEAR(product_performance_data[[#This Row],[Date_Sold]])</f>
        <v>2023</v>
      </c>
      <c r="J389" t="str">
        <f>TEXT(product_performance_data[[#This Row],[Date_Sold]],"ddd")</f>
        <v>Thu</v>
      </c>
    </row>
    <row r="390" spans="1:10" x14ac:dyDescent="0.3">
      <c r="A390" t="s">
        <v>793</v>
      </c>
      <c r="B390" t="s">
        <v>794</v>
      </c>
      <c r="C390" t="s">
        <v>23</v>
      </c>
      <c r="D390">
        <v>108</v>
      </c>
      <c r="E390">
        <v>305.74</v>
      </c>
      <c r="F390" s="1">
        <v>45723</v>
      </c>
      <c r="G390" s="2">
        <v>33019.919999999998</v>
      </c>
      <c r="H390">
        <f>MONTH(product_performance_data[[#This Row],[Date_Sold]])</f>
        <v>3</v>
      </c>
      <c r="I390">
        <f>YEAR(product_performance_data[[#This Row],[Date_Sold]])</f>
        <v>2025</v>
      </c>
      <c r="J390" t="str">
        <f>TEXT(product_performance_data[[#This Row],[Date_Sold]],"ddd")</f>
        <v>Fri</v>
      </c>
    </row>
    <row r="391" spans="1:10" x14ac:dyDescent="0.3">
      <c r="A391" t="s">
        <v>737</v>
      </c>
      <c r="B391" t="s">
        <v>738</v>
      </c>
      <c r="C391" t="s">
        <v>63</v>
      </c>
      <c r="D391">
        <v>462</v>
      </c>
      <c r="E391">
        <v>70.89</v>
      </c>
      <c r="F391" s="1">
        <v>45636</v>
      </c>
      <c r="G391" s="2">
        <v>32751.18</v>
      </c>
      <c r="H391">
        <f>MONTH(product_performance_data[[#This Row],[Date_Sold]])</f>
        <v>12</v>
      </c>
      <c r="I391">
        <f>YEAR(product_performance_data[[#This Row],[Date_Sold]])</f>
        <v>2024</v>
      </c>
      <c r="J391" t="str">
        <f>TEXT(product_performance_data[[#This Row],[Date_Sold]],"ddd")</f>
        <v>Tue</v>
      </c>
    </row>
    <row r="392" spans="1:10" x14ac:dyDescent="0.3">
      <c r="A392" t="s">
        <v>400</v>
      </c>
      <c r="B392" t="s">
        <v>401</v>
      </c>
      <c r="C392" t="s">
        <v>23</v>
      </c>
      <c r="D392">
        <v>250</v>
      </c>
      <c r="E392">
        <v>130.57</v>
      </c>
      <c r="F392" s="1">
        <v>44950</v>
      </c>
      <c r="G392" s="2">
        <v>32642.5</v>
      </c>
      <c r="H392">
        <f>MONTH(product_performance_data[[#This Row],[Date_Sold]])</f>
        <v>1</v>
      </c>
      <c r="I392">
        <f>YEAR(product_performance_data[[#This Row],[Date_Sold]])</f>
        <v>2023</v>
      </c>
      <c r="J392" t="str">
        <f>TEXT(product_performance_data[[#This Row],[Date_Sold]],"ddd")</f>
        <v>Tue</v>
      </c>
    </row>
    <row r="393" spans="1:10" x14ac:dyDescent="0.3">
      <c r="A393" t="s">
        <v>68</v>
      </c>
      <c r="B393" t="s">
        <v>69</v>
      </c>
      <c r="C393" t="s">
        <v>23</v>
      </c>
      <c r="D393">
        <v>507</v>
      </c>
      <c r="E393" s="2">
        <v>81.75</v>
      </c>
      <c r="F393" s="1">
        <v>45309</v>
      </c>
      <c r="G393" s="2">
        <v>32291.25</v>
      </c>
      <c r="H393">
        <f>MONTH(product_performance_data[[#This Row],[Date_Sold]])</f>
        <v>1</v>
      </c>
      <c r="I393">
        <f>YEAR(product_performance_data[[#This Row],[Date_Sold]])</f>
        <v>2024</v>
      </c>
      <c r="J393" t="str">
        <f>TEXT(product_performance_data[[#This Row],[Date_Sold]],"ddd")</f>
        <v>Thu</v>
      </c>
    </row>
    <row r="394" spans="1:10" x14ac:dyDescent="0.3">
      <c r="A394" t="s">
        <v>628</v>
      </c>
      <c r="B394" t="s">
        <v>629</v>
      </c>
      <c r="C394" t="s">
        <v>30</v>
      </c>
      <c r="D394">
        <v>207</v>
      </c>
      <c r="E394">
        <v>152.49</v>
      </c>
      <c r="F394" s="1">
        <v>45858</v>
      </c>
      <c r="G394" s="2">
        <v>31565.43</v>
      </c>
      <c r="H394">
        <f>MONTH(product_performance_data[[#This Row],[Date_Sold]])</f>
        <v>7</v>
      </c>
      <c r="I394">
        <f>YEAR(product_performance_data[[#This Row],[Date_Sold]])</f>
        <v>2025</v>
      </c>
      <c r="J394" t="str">
        <f>TEXT(product_performance_data[[#This Row],[Date_Sold]],"ddd")</f>
        <v>Sun</v>
      </c>
    </row>
    <row r="395" spans="1:10" x14ac:dyDescent="0.3">
      <c r="A395" t="s">
        <v>509</v>
      </c>
      <c r="B395" t="s">
        <v>510</v>
      </c>
      <c r="C395" t="s">
        <v>12</v>
      </c>
      <c r="D395">
        <v>686</v>
      </c>
      <c r="E395">
        <v>45.96</v>
      </c>
      <c r="F395" s="1">
        <v>45243</v>
      </c>
      <c r="G395" s="2">
        <v>31528.560000000001</v>
      </c>
      <c r="H395">
        <f>MONTH(product_performance_data[[#This Row],[Date_Sold]])</f>
        <v>11</v>
      </c>
      <c r="I395">
        <f>YEAR(product_performance_data[[#This Row],[Date_Sold]])</f>
        <v>2023</v>
      </c>
      <c r="J395" t="str">
        <f>TEXT(product_performance_data[[#This Row],[Date_Sold]],"ddd")</f>
        <v>Mon</v>
      </c>
    </row>
    <row r="396" spans="1:10" x14ac:dyDescent="0.3">
      <c r="A396" t="s">
        <v>893</v>
      </c>
      <c r="B396" t="s">
        <v>894</v>
      </c>
      <c r="C396" t="s">
        <v>30</v>
      </c>
      <c r="D396">
        <v>490</v>
      </c>
      <c r="E396">
        <v>62.76</v>
      </c>
      <c r="F396" s="1">
        <v>44983</v>
      </c>
      <c r="G396" s="2">
        <v>30752.399999999998</v>
      </c>
      <c r="H396">
        <f>MONTH(product_performance_data[[#This Row],[Date_Sold]])</f>
        <v>2</v>
      </c>
      <c r="I396">
        <f>YEAR(product_performance_data[[#This Row],[Date_Sold]])</f>
        <v>2023</v>
      </c>
      <c r="J396" t="str">
        <f>TEXT(product_performance_data[[#This Row],[Date_Sold]],"ddd")</f>
        <v>Sun</v>
      </c>
    </row>
    <row r="397" spans="1:10" x14ac:dyDescent="0.3">
      <c r="A397" t="s">
        <v>499</v>
      </c>
      <c r="B397" t="s">
        <v>500</v>
      </c>
      <c r="C397" t="s">
        <v>23</v>
      </c>
      <c r="D397">
        <v>719</v>
      </c>
      <c r="E397">
        <v>42.72</v>
      </c>
      <c r="F397" s="1">
        <v>45776</v>
      </c>
      <c r="G397" s="2">
        <v>30715.68</v>
      </c>
      <c r="H397">
        <f>MONTH(product_performance_data[[#This Row],[Date_Sold]])</f>
        <v>4</v>
      </c>
      <c r="I397">
        <f>YEAR(product_performance_data[[#This Row],[Date_Sold]])</f>
        <v>2025</v>
      </c>
      <c r="J397" t="str">
        <f>TEXT(product_performance_data[[#This Row],[Date_Sold]],"ddd")</f>
        <v>Tue</v>
      </c>
    </row>
    <row r="398" spans="1:10" x14ac:dyDescent="0.3">
      <c r="A398" t="s">
        <v>404</v>
      </c>
      <c r="B398" t="s">
        <v>405</v>
      </c>
      <c r="C398" t="s">
        <v>63</v>
      </c>
      <c r="D398">
        <v>105</v>
      </c>
      <c r="E398">
        <v>287.88</v>
      </c>
      <c r="F398" s="1">
        <v>45632</v>
      </c>
      <c r="G398" s="2">
        <v>30227.399999999998</v>
      </c>
      <c r="H398">
        <f>MONTH(product_performance_data[[#This Row],[Date_Sold]])</f>
        <v>12</v>
      </c>
      <c r="I398">
        <f>YEAR(product_performance_data[[#This Row],[Date_Sold]])</f>
        <v>2024</v>
      </c>
      <c r="J398" t="str">
        <f>TEXT(product_performance_data[[#This Row],[Date_Sold]],"ddd")</f>
        <v>Fri</v>
      </c>
    </row>
    <row r="399" spans="1:10" x14ac:dyDescent="0.3">
      <c r="A399" t="s">
        <v>468</v>
      </c>
      <c r="B399" t="s">
        <v>469</v>
      </c>
      <c r="C399" t="s">
        <v>12</v>
      </c>
      <c r="D399">
        <v>515</v>
      </c>
      <c r="E399">
        <v>57.84</v>
      </c>
      <c r="F399" s="1">
        <v>45538</v>
      </c>
      <c r="G399" s="2">
        <v>29787.600000000002</v>
      </c>
      <c r="H399">
        <f>MONTH(product_performance_data[[#This Row],[Date_Sold]])</f>
        <v>9</v>
      </c>
      <c r="I399">
        <f>YEAR(product_performance_data[[#This Row],[Date_Sold]])</f>
        <v>2024</v>
      </c>
      <c r="J399" t="str">
        <f>TEXT(product_performance_data[[#This Row],[Date_Sold]],"ddd")</f>
        <v>Tue</v>
      </c>
    </row>
    <row r="400" spans="1:10" x14ac:dyDescent="0.3">
      <c r="A400" t="s">
        <v>156</v>
      </c>
      <c r="B400" t="s">
        <v>157</v>
      </c>
      <c r="C400" t="s">
        <v>23</v>
      </c>
      <c r="D400">
        <v>355</v>
      </c>
      <c r="E400">
        <v>83.53</v>
      </c>
      <c r="F400" s="1">
        <v>45431</v>
      </c>
      <c r="G400" s="2">
        <v>29653.15</v>
      </c>
      <c r="H400">
        <f>MONTH(product_performance_data[[#This Row],[Date_Sold]])</f>
        <v>5</v>
      </c>
      <c r="I400">
        <f>YEAR(product_performance_data[[#This Row],[Date_Sold]])</f>
        <v>2024</v>
      </c>
      <c r="J400" t="str">
        <f>TEXT(product_performance_data[[#This Row],[Date_Sold]],"ddd")</f>
        <v>Sun</v>
      </c>
    </row>
    <row r="401" spans="1:10" x14ac:dyDescent="0.3">
      <c r="A401" t="s">
        <v>94</v>
      </c>
      <c r="B401" t="s">
        <v>95</v>
      </c>
      <c r="C401" t="s">
        <v>30</v>
      </c>
      <c r="D401">
        <v>68</v>
      </c>
      <c r="E401" s="2">
        <v>421.8</v>
      </c>
      <c r="F401" s="1">
        <v>45174</v>
      </c>
      <c r="G401" s="2">
        <v>28682.400000000001</v>
      </c>
      <c r="H401">
        <f>MONTH(product_performance_data[[#This Row],[Date_Sold]])</f>
        <v>9</v>
      </c>
      <c r="I401">
        <f>YEAR(product_performance_data[[#This Row],[Date_Sold]])</f>
        <v>2023</v>
      </c>
      <c r="J401" t="str">
        <f>TEXT(product_performance_data[[#This Row],[Date_Sold]],"ddd")</f>
        <v>Tue</v>
      </c>
    </row>
    <row r="402" spans="1:10" x14ac:dyDescent="0.3">
      <c r="A402" t="s">
        <v>50</v>
      </c>
      <c r="B402" t="s">
        <v>51</v>
      </c>
      <c r="C402" t="s">
        <v>12</v>
      </c>
      <c r="D402">
        <v>140</v>
      </c>
      <c r="E402" s="2">
        <v>201.41</v>
      </c>
      <c r="F402" s="1">
        <v>45395</v>
      </c>
      <c r="G402" s="2">
        <v>28197.399999999998</v>
      </c>
      <c r="H402">
        <f>MONTH(product_performance_data[[#This Row],[Date_Sold]])</f>
        <v>4</v>
      </c>
      <c r="I402">
        <f>YEAR(product_performance_data[[#This Row],[Date_Sold]])</f>
        <v>2024</v>
      </c>
      <c r="J402" t="str">
        <f>TEXT(product_performance_data[[#This Row],[Date_Sold]],"ddd")</f>
        <v>Sat</v>
      </c>
    </row>
    <row r="403" spans="1:10" x14ac:dyDescent="0.3">
      <c r="A403" t="s">
        <v>477</v>
      </c>
      <c r="B403" t="s">
        <v>478</v>
      </c>
      <c r="C403" t="s">
        <v>30</v>
      </c>
      <c r="D403">
        <v>234</v>
      </c>
      <c r="E403">
        <v>118.55</v>
      </c>
      <c r="F403" s="1">
        <v>45011</v>
      </c>
      <c r="G403" s="2">
        <v>27740.7</v>
      </c>
      <c r="H403">
        <f>MONTH(product_performance_data[[#This Row],[Date_Sold]])</f>
        <v>3</v>
      </c>
      <c r="I403">
        <f>YEAR(product_performance_data[[#This Row],[Date_Sold]])</f>
        <v>2023</v>
      </c>
      <c r="J403" t="str">
        <f>TEXT(product_performance_data[[#This Row],[Date_Sold]],"ddd")</f>
        <v>Sun</v>
      </c>
    </row>
    <row r="404" spans="1:10" x14ac:dyDescent="0.3">
      <c r="A404" t="s">
        <v>274</v>
      </c>
      <c r="B404" t="s">
        <v>275</v>
      </c>
      <c r="C404" t="s">
        <v>9</v>
      </c>
      <c r="D404">
        <v>74</v>
      </c>
      <c r="E404">
        <v>367.17</v>
      </c>
      <c r="F404" s="1">
        <v>45472</v>
      </c>
      <c r="G404" s="2">
        <v>27170.58</v>
      </c>
      <c r="H404">
        <f>MONTH(product_performance_data[[#This Row],[Date_Sold]])</f>
        <v>6</v>
      </c>
      <c r="I404">
        <f>YEAR(product_performance_data[[#This Row],[Date_Sold]])</f>
        <v>2024</v>
      </c>
      <c r="J404" t="str">
        <f>TEXT(product_performance_data[[#This Row],[Date_Sold]],"ddd")</f>
        <v>Sat</v>
      </c>
    </row>
    <row r="405" spans="1:10" x14ac:dyDescent="0.3">
      <c r="A405" t="s">
        <v>908</v>
      </c>
      <c r="B405" t="s">
        <v>909</v>
      </c>
      <c r="C405" t="s">
        <v>9</v>
      </c>
      <c r="D405">
        <v>58</v>
      </c>
      <c r="E405">
        <v>466.8</v>
      </c>
      <c r="F405" s="1">
        <v>45875</v>
      </c>
      <c r="G405" s="2">
        <v>27074.400000000001</v>
      </c>
      <c r="H405">
        <f>MONTH(product_performance_data[[#This Row],[Date_Sold]])</f>
        <v>8</v>
      </c>
      <c r="I405">
        <f>YEAR(product_performance_data[[#This Row],[Date_Sold]])</f>
        <v>2025</v>
      </c>
      <c r="J405" t="str">
        <f>TEXT(product_performance_data[[#This Row],[Date_Sold]],"ddd")</f>
        <v>Wed</v>
      </c>
    </row>
    <row r="406" spans="1:10" x14ac:dyDescent="0.3">
      <c r="A406" t="s">
        <v>48</v>
      </c>
      <c r="B406" t="s">
        <v>49</v>
      </c>
      <c r="C406" t="s">
        <v>30</v>
      </c>
      <c r="D406">
        <v>673</v>
      </c>
      <c r="E406" s="2">
        <v>40.119999999999997</v>
      </c>
      <c r="F406" s="1">
        <v>45467</v>
      </c>
      <c r="G406" s="2">
        <v>27000.76</v>
      </c>
      <c r="H406">
        <f>MONTH(product_performance_data[[#This Row],[Date_Sold]])</f>
        <v>6</v>
      </c>
      <c r="I406">
        <f>YEAR(product_performance_data[[#This Row],[Date_Sold]])</f>
        <v>2024</v>
      </c>
      <c r="J406" t="str">
        <f>TEXT(product_performance_data[[#This Row],[Date_Sold]],"ddd")</f>
        <v>Mon</v>
      </c>
    </row>
    <row r="407" spans="1:10" x14ac:dyDescent="0.3">
      <c r="A407" t="s">
        <v>290</v>
      </c>
      <c r="B407" t="s">
        <v>291</v>
      </c>
      <c r="C407" t="s">
        <v>63</v>
      </c>
      <c r="D407">
        <v>72</v>
      </c>
      <c r="E407">
        <v>371.25</v>
      </c>
      <c r="F407" s="1">
        <v>45974</v>
      </c>
      <c r="G407" s="2">
        <v>26730</v>
      </c>
      <c r="H407">
        <f>MONTH(product_performance_data[[#This Row],[Date_Sold]])</f>
        <v>11</v>
      </c>
      <c r="I407">
        <f>YEAR(product_performance_data[[#This Row],[Date_Sold]])</f>
        <v>2025</v>
      </c>
      <c r="J407" t="str">
        <f>TEXT(product_performance_data[[#This Row],[Date_Sold]],"ddd")</f>
        <v>Thu</v>
      </c>
    </row>
    <row r="408" spans="1:10" x14ac:dyDescent="0.3">
      <c r="A408" t="s">
        <v>759</v>
      </c>
      <c r="B408" t="s">
        <v>760</v>
      </c>
      <c r="C408" t="s">
        <v>63</v>
      </c>
      <c r="D408">
        <v>63</v>
      </c>
      <c r="E408">
        <v>421.15</v>
      </c>
      <c r="F408" s="1">
        <v>45909</v>
      </c>
      <c r="G408" s="2">
        <v>26532.449999999997</v>
      </c>
      <c r="H408">
        <f>MONTH(product_performance_data[[#This Row],[Date_Sold]])</f>
        <v>9</v>
      </c>
      <c r="I408">
        <f>YEAR(product_performance_data[[#This Row],[Date_Sold]])</f>
        <v>2025</v>
      </c>
      <c r="J408" t="str">
        <f>TEXT(product_performance_data[[#This Row],[Date_Sold]],"ddd")</f>
        <v>Tue</v>
      </c>
    </row>
    <row r="409" spans="1:10" x14ac:dyDescent="0.3">
      <c r="A409" t="s">
        <v>497</v>
      </c>
      <c r="B409" t="s">
        <v>498</v>
      </c>
      <c r="C409" t="s">
        <v>63</v>
      </c>
      <c r="D409">
        <v>368</v>
      </c>
      <c r="E409">
        <v>70.930000000000007</v>
      </c>
      <c r="F409" s="1">
        <v>45641</v>
      </c>
      <c r="G409" s="2">
        <v>26102.240000000002</v>
      </c>
      <c r="H409">
        <f>MONTH(product_performance_data[[#This Row],[Date_Sold]])</f>
        <v>12</v>
      </c>
      <c r="I409">
        <f>YEAR(product_performance_data[[#This Row],[Date_Sold]])</f>
        <v>2024</v>
      </c>
      <c r="J409" t="str">
        <f>TEXT(product_performance_data[[#This Row],[Date_Sold]],"ddd")</f>
        <v>Sun</v>
      </c>
    </row>
    <row r="410" spans="1:10" x14ac:dyDescent="0.3">
      <c r="A410" t="s">
        <v>535</v>
      </c>
      <c r="B410" t="s">
        <v>536</v>
      </c>
      <c r="C410" t="s">
        <v>60</v>
      </c>
      <c r="D410">
        <v>701</v>
      </c>
      <c r="E410">
        <v>36.44</v>
      </c>
      <c r="F410" s="1">
        <v>45808</v>
      </c>
      <c r="G410" s="2">
        <v>25544.44</v>
      </c>
      <c r="H410">
        <f>MONTH(product_performance_data[[#This Row],[Date_Sold]])</f>
        <v>5</v>
      </c>
      <c r="I410">
        <f>YEAR(product_performance_data[[#This Row],[Date_Sold]])</f>
        <v>2025</v>
      </c>
      <c r="J410" t="str">
        <f>TEXT(product_performance_data[[#This Row],[Date_Sold]],"ddd")</f>
        <v>Sat</v>
      </c>
    </row>
    <row r="411" spans="1:10" x14ac:dyDescent="0.3">
      <c r="A411" t="s">
        <v>422</v>
      </c>
      <c r="B411" t="s">
        <v>423</v>
      </c>
      <c r="C411" t="s">
        <v>9</v>
      </c>
      <c r="D411">
        <v>550</v>
      </c>
      <c r="E411">
        <v>46.03</v>
      </c>
      <c r="F411" s="1">
        <v>45855</v>
      </c>
      <c r="G411" s="2">
        <v>25316.5</v>
      </c>
      <c r="H411">
        <f>MONTH(product_performance_data[[#This Row],[Date_Sold]])</f>
        <v>7</v>
      </c>
      <c r="I411">
        <f>YEAR(product_performance_data[[#This Row],[Date_Sold]])</f>
        <v>2025</v>
      </c>
      <c r="J411" t="str">
        <f>TEXT(product_performance_data[[#This Row],[Date_Sold]],"ddd")</f>
        <v>Thu</v>
      </c>
    </row>
    <row r="412" spans="1:10" x14ac:dyDescent="0.3">
      <c r="A412" t="s">
        <v>445</v>
      </c>
      <c r="B412" t="s">
        <v>283</v>
      </c>
      <c r="C412" t="s">
        <v>63</v>
      </c>
      <c r="D412">
        <v>583</v>
      </c>
      <c r="E412">
        <v>42.34</v>
      </c>
      <c r="F412" s="1">
        <v>45935</v>
      </c>
      <c r="G412" s="2">
        <v>24684.22</v>
      </c>
      <c r="H412">
        <f>MONTH(product_performance_data[[#This Row],[Date_Sold]])</f>
        <v>10</v>
      </c>
      <c r="I412">
        <f>YEAR(product_performance_data[[#This Row],[Date_Sold]])</f>
        <v>2025</v>
      </c>
      <c r="J412" t="str">
        <f>TEXT(product_performance_data[[#This Row],[Date_Sold]],"ddd")</f>
        <v>Sun</v>
      </c>
    </row>
    <row r="413" spans="1:10" x14ac:dyDescent="0.3">
      <c r="A413" t="s">
        <v>110</v>
      </c>
      <c r="B413" t="s">
        <v>111</v>
      </c>
      <c r="C413" t="s">
        <v>30</v>
      </c>
      <c r="D413">
        <v>967</v>
      </c>
      <c r="E413" s="2">
        <v>25.33</v>
      </c>
      <c r="F413" s="1">
        <v>45946</v>
      </c>
      <c r="G413" s="2">
        <v>24494.109999999997</v>
      </c>
      <c r="H413">
        <f>MONTH(product_performance_data[[#This Row],[Date_Sold]])</f>
        <v>10</v>
      </c>
      <c r="I413">
        <f>YEAR(product_performance_data[[#This Row],[Date_Sold]])</f>
        <v>2025</v>
      </c>
      <c r="J413" t="str">
        <f>TEXT(product_performance_data[[#This Row],[Date_Sold]],"ddd")</f>
        <v>Thu</v>
      </c>
    </row>
    <row r="414" spans="1:10" x14ac:dyDescent="0.3">
      <c r="A414" t="s">
        <v>701</v>
      </c>
      <c r="B414" t="s">
        <v>702</v>
      </c>
      <c r="C414" t="s">
        <v>12</v>
      </c>
      <c r="D414">
        <v>482</v>
      </c>
      <c r="E414">
        <v>50.68</v>
      </c>
      <c r="F414" s="1">
        <v>45351</v>
      </c>
      <c r="G414" s="2">
        <v>24427.759999999998</v>
      </c>
      <c r="H414">
        <f>MONTH(product_performance_data[[#This Row],[Date_Sold]])</f>
        <v>2</v>
      </c>
      <c r="I414">
        <f>YEAR(product_performance_data[[#This Row],[Date_Sold]])</f>
        <v>2024</v>
      </c>
      <c r="J414" t="str">
        <f>TEXT(product_performance_data[[#This Row],[Date_Sold]],"ddd")</f>
        <v>Thu</v>
      </c>
    </row>
    <row r="415" spans="1:10" x14ac:dyDescent="0.3">
      <c r="A415" t="s">
        <v>314</v>
      </c>
      <c r="B415" t="s">
        <v>315</v>
      </c>
      <c r="C415" t="s">
        <v>30</v>
      </c>
      <c r="D415">
        <v>50</v>
      </c>
      <c r="E415">
        <v>478.62</v>
      </c>
      <c r="F415" s="1">
        <v>45316</v>
      </c>
      <c r="G415" s="2">
        <v>23931</v>
      </c>
      <c r="H415">
        <f>MONTH(product_performance_data[[#This Row],[Date_Sold]])</f>
        <v>1</v>
      </c>
      <c r="I415">
        <f>YEAR(product_performance_data[[#This Row],[Date_Sold]])</f>
        <v>2024</v>
      </c>
      <c r="J415" t="str">
        <f>TEXT(product_performance_data[[#This Row],[Date_Sold]],"ddd")</f>
        <v>Thu</v>
      </c>
    </row>
    <row r="416" spans="1:10" x14ac:dyDescent="0.3">
      <c r="A416" t="s">
        <v>787</v>
      </c>
      <c r="B416" t="s">
        <v>788</v>
      </c>
      <c r="C416" t="s">
        <v>12</v>
      </c>
      <c r="D416">
        <v>121</v>
      </c>
      <c r="E416">
        <v>192.49</v>
      </c>
      <c r="F416" s="1">
        <v>45552</v>
      </c>
      <c r="G416" s="2">
        <v>23291.29</v>
      </c>
      <c r="H416">
        <f>MONTH(product_performance_data[[#This Row],[Date_Sold]])</f>
        <v>9</v>
      </c>
      <c r="I416">
        <f>YEAR(product_performance_data[[#This Row],[Date_Sold]])</f>
        <v>2024</v>
      </c>
      <c r="J416" t="str">
        <f>TEXT(product_performance_data[[#This Row],[Date_Sold]],"ddd")</f>
        <v>Tue</v>
      </c>
    </row>
    <row r="417" spans="1:10" x14ac:dyDescent="0.3">
      <c r="A417" t="s">
        <v>343</v>
      </c>
      <c r="B417" t="s">
        <v>344</v>
      </c>
      <c r="C417" t="s">
        <v>63</v>
      </c>
      <c r="D417">
        <v>693</v>
      </c>
      <c r="E417" s="10">
        <v>32.659999999999997</v>
      </c>
      <c r="F417" s="1">
        <v>45225</v>
      </c>
      <c r="G417" s="2">
        <v>22633.379999999997</v>
      </c>
      <c r="H417">
        <f>MONTH(product_performance_data[[#This Row],[Date_Sold]])</f>
        <v>10</v>
      </c>
      <c r="I417">
        <f>YEAR(product_performance_data[[#This Row],[Date_Sold]])</f>
        <v>2023</v>
      </c>
      <c r="J417" t="str">
        <f>TEXT(product_performance_data[[#This Row],[Date_Sold]],"ddd")</f>
        <v>Thu</v>
      </c>
    </row>
    <row r="418" spans="1:10" x14ac:dyDescent="0.3">
      <c r="A418" t="s">
        <v>816</v>
      </c>
      <c r="B418" t="s">
        <v>817</v>
      </c>
      <c r="C418" t="s">
        <v>37</v>
      </c>
      <c r="D418">
        <v>690</v>
      </c>
      <c r="E418">
        <v>32.549999999999997</v>
      </c>
      <c r="F418" s="1">
        <v>45709</v>
      </c>
      <c r="G418" s="2">
        <v>22459.499999999996</v>
      </c>
      <c r="H418">
        <f>MONTH(product_performance_data[[#This Row],[Date_Sold]])</f>
        <v>2</v>
      </c>
      <c r="I418">
        <f>YEAR(product_performance_data[[#This Row],[Date_Sold]])</f>
        <v>2025</v>
      </c>
      <c r="J418" t="str">
        <f>TEXT(product_performance_data[[#This Row],[Date_Sold]],"ddd")</f>
        <v>Fri</v>
      </c>
    </row>
    <row r="419" spans="1:10" x14ac:dyDescent="0.3">
      <c r="A419" t="s">
        <v>76</v>
      </c>
      <c r="B419" t="s">
        <v>77</v>
      </c>
      <c r="C419" t="s">
        <v>23</v>
      </c>
      <c r="D419">
        <v>170</v>
      </c>
      <c r="E419" s="2">
        <v>128.87</v>
      </c>
      <c r="F419" s="1">
        <v>45807</v>
      </c>
      <c r="G419" s="2">
        <v>21907.9</v>
      </c>
      <c r="H419">
        <f>MONTH(product_performance_data[[#This Row],[Date_Sold]])</f>
        <v>5</v>
      </c>
      <c r="I419">
        <f>YEAR(product_performance_data[[#This Row],[Date_Sold]])</f>
        <v>2025</v>
      </c>
      <c r="J419" t="str">
        <f>TEXT(product_performance_data[[#This Row],[Date_Sold]],"ddd")</f>
        <v>Fri</v>
      </c>
    </row>
    <row r="420" spans="1:10" x14ac:dyDescent="0.3">
      <c r="A420" t="s">
        <v>922</v>
      </c>
      <c r="B420" t="s">
        <v>827</v>
      </c>
      <c r="C420" t="s">
        <v>12</v>
      </c>
      <c r="D420">
        <v>55</v>
      </c>
      <c r="E420">
        <v>391.85</v>
      </c>
      <c r="F420" s="1">
        <v>44960</v>
      </c>
      <c r="G420" s="2">
        <v>21551.75</v>
      </c>
      <c r="H420">
        <f>MONTH(product_performance_data[[#This Row],[Date_Sold]])</f>
        <v>2</v>
      </c>
      <c r="I420">
        <f>YEAR(product_performance_data[[#This Row],[Date_Sold]])</f>
        <v>2023</v>
      </c>
      <c r="J420" t="str">
        <f>TEXT(product_performance_data[[#This Row],[Date_Sold]],"ddd")</f>
        <v>Fri</v>
      </c>
    </row>
    <row r="421" spans="1:10" x14ac:dyDescent="0.3">
      <c r="A421" t="s">
        <v>515</v>
      </c>
      <c r="B421" t="s">
        <v>516</v>
      </c>
      <c r="C421" t="s">
        <v>63</v>
      </c>
      <c r="D421">
        <v>243</v>
      </c>
      <c r="E421">
        <v>86.59</v>
      </c>
      <c r="F421" s="1">
        <v>45015</v>
      </c>
      <c r="G421" s="2">
        <v>21041.370000000003</v>
      </c>
      <c r="H421">
        <f>MONTH(product_performance_data[[#This Row],[Date_Sold]])</f>
        <v>3</v>
      </c>
      <c r="I421">
        <f>YEAR(product_performance_data[[#This Row],[Date_Sold]])</f>
        <v>2023</v>
      </c>
      <c r="J421" t="str">
        <f>TEXT(product_performance_data[[#This Row],[Date_Sold]],"ddd")</f>
        <v>Thu</v>
      </c>
    </row>
    <row r="422" spans="1:10" x14ac:dyDescent="0.3">
      <c r="A422" t="s">
        <v>795</v>
      </c>
      <c r="B422" t="s">
        <v>796</v>
      </c>
      <c r="C422" t="s">
        <v>9</v>
      </c>
      <c r="D422">
        <v>162</v>
      </c>
      <c r="E422">
        <v>125.95</v>
      </c>
      <c r="F422" s="1">
        <v>45742</v>
      </c>
      <c r="G422" s="2">
        <v>20403.900000000001</v>
      </c>
      <c r="H422">
        <f>MONTH(product_performance_data[[#This Row],[Date_Sold]])</f>
        <v>3</v>
      </c>
      <c r="I422">
        <f>YEAR(product_performance_data[[#This Row],[Date_Sold]])</f>
        <v>2025</v>
      </c>
      <c r="J422" t="str">
        <f>TEXT(product_performance_data[[#This Row],[Date_Sold]],"ddd")</f>
        <v>Wed</v>
      </c>
    </row>
    <row r="423" spans="1:10" x14ac:dyDescent="0.3">
      <c r="A423" t="s">
        <v>52</v>
      </c>
      <c r="B423" t="s">
        <v>53</v>
      </c>
      <c r="C423" t="s">
        <v>23</v>
      </c>
      <c r="D423">
        <v>671</v>
      </c>
      <c r="E423" s="2">
        <v>30.13</v>
      </c>
      <c r="F423" s="1">
        <v>45375</v>
      </c>
      <c r="G423" s="2">
        <v>20217.23</v>
      </c>
      <c r="H423">
        <f>MONTH(product_performance_data[[#This Row],[Date_Sold]])</f>
        <v>3</v>
      </c>
      <c r="I423">
        <f>YEAR(product_performance_data[[#This Row],[Date_Sold]])</f>
        <v>2024</v>
      </c>
      <c r="J423" t="str">
        <f>TEXT(product_performance_data[[#This Row],[Date_Sold]],"ddd")</f>
        <v>Sun</v>
      </c>
    </row>
    <row r="424" spans="1:10" x14ac:dyDescent="0.3">
      <c r="A424" t="s">
        <v>543</v>
      </c>
      <c r="B424" t="s">
        <v>544</v>
      </c>
      <c r="C424" t="s">
        <v>12</v>
      </c>
      <c r="D424">
        <v>451</v>
      </c>
      <c r="E424">
        <v>42.3</v>
      </c>
      <c r="F424" s="1">
        <v>45357</v>
      </c>
      <c r="G424" s="2">
        <v>19077.3</v>
      </c>
      <c r="H424">
        <f>MONTH(product_performance_data[[#This Row],[Date_Sold]])</f>
        <v>3</v>
      </c>
      <c r="I424">
        <f>YEAR(product_performance_data[[#This Row],[Date_Sold]])</f>
        <v>2024</v>
      </c>
      <c r="J424" t="str">
        <f>TEXT(product_performance_data[[#This Row],[Date_Sold]],"ddd")</f>
        <v>Wed</v>
      </c>
    </row>
    <row r="425" spans="1:10" x14ac:dyDescent="0.3">
      <c r="A425" t="s">
        <v>452</v>
      </c>
      <c r="B425" t="s">
        <v>453</v>
      </c>
      <c r="C425" t="s">
        <v>23</v>
      </c>
      <c r="D425">
        <v>37</v>
      </c>
      <c r="E425">
        <v>497.94</v>
      </c>
      <c r="F425" s="1">
        <v>45970</v>
      </c>
      <c r="G425" s="2">
        <v>18423.78</v>
      </c>
      <c r="H425">
        <f>MONTH(product_performance_data[[#This Row],[Date_Sold]])</f>
        <v>11</v>
      </c>
      <c r="I425">
        <f>YEAR(product_performance_data[[#This Row],[Date_Sold]])</f>
        <v>2025</v>
      </c>
      <c r="J425" t="str">
        <f>TEXT(product_performance_data[[#This Row],[Date_Sold]],"ddd")</f>
        <v>Sun</v>
      </c>
    </row>
    <row r="426" spans="1:10" x14ac:dyDescent="0.3">
      <c r="A426" t="s">
        <v>292</v>
      </c>
      <c r="B426" t="s">
        <v>293</v>
      </c>
      <c r="C426" t="s">
        <v>30</v>
      </c>
      <c r="D426">
        <v>148</v>
      </c>
      <c r="E426">
        <v>122.93</v>
      </c>
      <c r="F426" s="1">
        <v>45530</v>
      </c>
      <c r="G426" s="2">
        <v>18193.64</v>
      </c>
      <c r="H426">
        <f>MONTH(product_performance_data[[#This Row],[Date_Sold]])</f>
        <v>8</v>
      </c>
      <c r="I426">
        <f>YEAR(product_performance_data[[#This Row],[Date_Sold]])</f>
        <v>2024</v>
      </c>
      <c r="J426" t="str">
        <f>TEXT(product_performance_data[[#This Row],[Date_Sold]],"ddd")</f>
        <v>Mon</v>
      </c>
    </row>
    <row r="427" spans="1:10" x14ac:dyDescent="0.3">
      <c r="A427" t="s">
        <v>864</v>
      </c>
      <c r="B427" t="s">
        <v>865</v>
      </c>
      <c r="C427" t="s">
        <v>37</v>
      </c>
      <c r="D427">
        <v>47</v>
      </c>
      <c r="E427">
        <v>385.05</v>
      </c>
      <c r="F427" s="1">
        <v>45753</v>
      </c>
      <c r="G427" s="2">
        <v>18097.350000000002</v>
      </c>
      <c r="H427">
        <f>MONTH(product_performance_data[[#This Row],[Date_Sold]])</f>
        <v>4</v>
      </c>
      <c r="I427">
        <f>YEAR(product_performance_data[[#This Row],[Date_Sold]])</f>
        <v>2025</v>
      </c>
      <c r="J427" t="str">
        <f>TEXT(product_performance_data[[#This Row],[Date_Sold]],"ddd")</f>
        <v>Sun</v>
      </c>
    </row>
    <row r="428" spans="1:10" x14ac:dyDescent="0.3">
      <c r="A428" t="s">
        <v>820</v>
      </c>
      <c r="B428" t="s">
        <v>821</v>
      </c>
      <c r="C428" t="s">
        <v>37</v>
      </c>
      <c r="D428">
        <v>589</v>
      </c>
      <c r="E428">
        <v>30.56</v>
      </c>
      <c r="F428" s="1">
        <v>45692</v>
      </c>
      <c r="G428" s="2">
        <v>17999.84</v>
      </c>
      <c r="H428">
        <f>MONTH(product_performance_data[[#This Row],[Date_Sold]])</f>
        <v>2</v>
      </c>
      <c r="I428">
        <f>YEAR(product_performance_data[[#This Row],[Date_Sold]])</f>
        <v>2025</v>
      </c>
      <c r="J428" t="str">
        <f>TEXT(product_performance_data[[#This Row],[Date_Sold]],"ddd")</f>
        <v>Tue</v>
      </c>
    </row>
    <row r="429" spans="1:10" x14ac:dyDescent="0.3">
      <c r="A429" t="s">
        <v>368</v>
      </c>
      <c r="B429" t="s">
        <v>369</v>
      </c>
      <c r="C429" t="s">
        <v>63</v>
      </c>
      <c r="D429">
        <v>227</v>
      </c>
      <c r="E429" s="12">
        <v>252.42</v>
      </c>
      <c r="F429" s="1">
        <v>45384</v>
      </c>
      <c r="G429" s="2">
        <v>17608.39</v>
      </c>
      <c r="H429">
        <f>MONTH(product_performance_data[[#This Row],[Date_Sold]])</f>
        <v>4</v>
      </c>
      <c r="I429">
        <f>YEAR(product_performance_data[[#This Row],[Date_Sold]])</f>
        <v>2024</v>
      </c>
      <c r="J429" t="str">
        <f>TEXT(product_performance_data[[#This Row],[Date_Sold]],"ddd")</f>
        <v>Tue</v>
      </c>
    </row>
    <row r="430" spans="1:10" x14ac:dyDescent="0.3">
      <c r="A430" t="s">
        <v>162</v>
      </c>
      <c r="B430" t="s">
        <v>163</v>
      </c>
      <c r="C430" t="s">
        <v>23</v>
      </c>
      <c r="D430">
        <v>349</v>
      </c>
      <c r="E430" s="8">
        <v>50.44</v>
      </c>
      <c r="F430" s="1">
        <v>45435</v>
      </c>
      <c r="G430" s="2">
        <v>17603.559999999998</v>
      </c>
      <c r="H430">
        <f>MONTH(product_performance_data[[#This Row],[Date_Sold]])</f>
        <v>5</v>
      </c>
      <c r="I430">
        <f>YEAR(product_performance_data[[#This Row],[Date_Sold]])</f>
        <v>2024</v>
      </c>
      <c r="J430" t="str">
        <f>TEXT(product_performance_data[[#This Row],[Date_Sold]],"ddd")</f>
        <v>Thu</v>
      </c>
    </row>
    <row r="431" spans="1:10" x14ac:dyDescent="0.3">
      <c r="A431" t="s">
        <v>17</v>
      </c>
      <c r="B431" t="s">
        <v>18</v>
      </c>
      <c r="C431" t="s">
        <v>9</v>
      </c>
      <c r="D431">
        <v>116</v>
      </c>
      <c r="E431" s="2">
        <v>151.16999999999999</v>
      </c>
      <c r="F431" s="1">
        <v>45659</v>
      </c>
      <c r="G431" s="2">
        <v>17535.719999999998</v>
      </c>
      <c r="H431">
        <f>MONTH(product_performance_data[[#This Row],[Date_Sold]])</f>
        <v>1</v>
      </c>
      <c r="I431">
        <f>YEAR(product_performance_data[[#This Row],[Date_Sold]])</f>
        <v>2025</v>
      </c>
      <c r="J431" t="str">
        <f>TEXT(product_performance_data[[#This Row],[Date_Sold]],"ddd")</f>
        <v>Thu</v>
      </c>
    </row>
    <row r="432" spans="1:10" x14ac:dyDescent="0.3">
      <c r="A432" t="s">
        <v>238</v>
      </c>
      <c r="B432" t="s">
        <v>239</v>
      </c>
      <c r="C432" t="s">
        <v>12</v>
      </c>
      <c r="D432">
        <v>711</v>
      </c>
      <c r="E432">
        <v>24.29</v>
      </c>
      <c r="F432" s="1">
        <v>45388</v>
      </c>
      <c r="G432" s="2">
        <v>17270.189999999999</v>
      </c>
      <c r="H432">
        <f>MONTH(product_performance_data[[#This Row],[Date_Sold]])</f>
        <v>4</v>
      </c>
      <c r="I432">
        <f>YEAR(product_performance_data[[#This Row],[Date_Sold]])</f>
        <v>2024</v>
      </c>
      <c r="J432" t="str">
        <f>TEXT(product_performance_data[[#This Row],[Date_Sold]],"ddd")</f>
        <v>Sat</v>
      </c>
    </row>
    <row r="433" spans="1:10" x14ac:dyDescent="0.3">
      <c r="A433" t="s">
        <v>304</v>
      </c>
      <c r="B433" t="s">
        <v>305</v>
      </c>
      <c r="C433" t="s">
        <v>30</v>
      </c>
      <c r="D433">
        <v>298</v>
      </c>
      <c r="E433">
        <v>54.49</v>
      </c>
      <c r="F433" s="1">
        <v>45405</v>
      </c>
      <c r="G433" s="2">
        <v>16238.02</v>
      </c>
      <c r="H433">
        <f>MONTH(product_performance_data[[#This Row],[Date_Sold]])</f>
        <v>4</v>
      </c>
      <c r="I433">
        <f>YEAR(product_performance_data[[#This Row],[Date_Sold]])</f>
        <v>2024</v>
      </c>
      <c r="J433" t="str">
        <f>TEXT(product_performance_data[[#This Row],[Date_Sold]],"ddd")</f>
        <v>Tue</v>
      </c>
    </row>
    <row r="434" spans="1:10" x14ac:dyDescent="0.3">
      <c r="A434" t="s">
        <v>739</v>
      </c>
      <c r="B434" t="s">
        <v>740</v>
      </c>
      <c r="C434" t="s">
        <v>12</v>
      </c>
      <c r="D434">
        <v>46</v>
      </c>
      <c r="E434">
        <v>345.15</v>
      </c>
      <c r="F434" s="1">
        <v>45602</v>
      </c>
      <c r="G434" s="2">
        <v>15876.9</v>
      </c>
      <c r="H434">
        <f>MONTH(product_performance_data[[#This Row],[Date_Sold]])</f>
        <v>11</v>
      </c>
      <c r="I434">
        <f>YEAR(product_performance_data[[#This Row],[Date_Sold]])</f>
        <v>2024</v>
      </c>
      <c r="J434" t="str">
        <f>TEXT(product_performance_data[[#This Row],[Date_Sold]],"ddd")</f>
        <v>Wed</v>
      </c>
    </row>
    <row r="435" spans="1:10" x14ac:dyDescent="0.3">
      <c r="A435" t="s">
        <v>618</v>
      </c>
      <c r="B435" t="s">
        <v>619</v>
      </c>
      <c r="C435" t="s">
        <v>9</v>
      </c>
      <c r="D435">
        <v>303</v>
      </c>
      <c r="E435">
        <v>50.05</v>
      </c>
      <c r="F435" s="1">
        <v>45548</v>
      </c>
      <c r="G435" s="2">
        <v>15165.15</v>
      </c>
      <c r="H435">
        <f>MONTH(product_performance_data[[#This Row],[Date_Sold]])</f>
        <v>9</v>
      </c>
      <c r="I435">
        <f>YEAR(product_performance_data[[#This Row],[Date_Sold]])</f>
        <v>2024</v>
      </c>
      <c r="J435" t="str">
        <f>TEXT(product_performance_data[[#This Row],[Date_Sold]],"ddd")</f>
        <v>Fri</v>
      </c>
    </row>
    <row r="436" spans="1:10" x14ac:dyDescent="0.3">
      <c r="A436" t="s">
        <v>56</v>
      </c>
      <c r="B436" t="s">
        <v>57</v>
      </c>
      <c r="C436" t="s">
        <v>37</v>
      </c>
      <c r="D436">
        <v>779</v>
      </c>
      <c r="E436" s="2">
        <v>18.670000000000002</v>
      </c>
      <c r="F436" s="1">
        <v>45751</v>
      </c>
      <c r="G436" s="2">
        <v>14543.930000000002</v>
      </c>
      <c r="H436">
        <f>MONTH(product_performance_data[[#This Row],[Date_Sold]])</f>
        <v>4</v>
      </c>
      <c r="I436">
        <f>YEAR(product_performance_data[[#This Row],[Date_Sold]])</f>
        <v>2025</v>
      </c>
      <c r="J436" t="str">
        <f>TEXT(product_performance_data[[#This Row],[Date_Sold]],"ddd")</f>
        <v>Fri</v>
      </c>
    </row>
    <row r="437" spans="1:10" x14ac:dyDescent="0.3">
      <c r="A437" t="s">
        <v>218</v>
      </c>
      <c r="B437" t="s">
        <v>219</v>
      </c>
      <c r="C437" t="s">
        <v>23</v>
      </c>
      <c r="D437">
        <v>211</v>
      </c>
      <c r="E437">
        <v>68.61</v>
      </c>
      <c r="F437" s="1">
        <v>45505</v>
      </c>
      <c r="G437" s="2">
        <v>14476.71</v>
      </c>
      <c r="H437">
        <f>MONTH(product_performance_data[[#This Row],[Date_Sold]])</f>
        <v>8</v>
      </c>
      <c r="I437">
        <f>YEAR(product_performance_data[[#This Row],[Date_Sold]])</f>
        <v>2024</v>
      </c>
      <c r="J437" t="str">
        <f>TEXT(product_performance_data[[#This Row],[Date_Sold]],"ddd")</f>
        <v>Thu</v>
      </c>
    </row>
    <row r="438" spans="1:10" x14ac:dyDescent="0.3">
      <c r="A438" t="s">
        <v>887</v>
      </c>
      <c r="B438" t="s">
        <v>888</v>
      </c>
      <c r="C438" t="s">
        <v>12</v>
      </c>
      <c r="D438">
        <v>293</v>
      </c>
      <c r="E438">
        <v>48.49</v>
      </c>
      <c r="F438" s="1">
        <v>45227</v>
      </c>
      <c r="G438" s="2">
        <v>14207.57</v>
      </c>
      <c r="H438">
        <f>MONTH(product_performance_data[[#This Row],[Date_Sold]])</f>
        <v>10</v>
      </c>
      <c r="I438">
        <f>YEAR(product_performance_data[[#This Row],[Date_Sold]])</f>
        <v>2023</v>
      </c>
      <c r="J438" t="str">
        <f>TEXT(product_performance_data[[#This Row],[Date_Sold]],"ddd")</f>
        <v>Sat</v>
      </c>
    </row>
    <row r="439" spans="1:10" x14ac:dyDescent="0.3">
      <c r="A439" t="s">
        <v>920</v>
      </c>
      <c r="B439" t="s">
        <v>921</v>
      </c>
      <c r="C439" t="s">
        <v>9</v>
      </c>
      <c r="D439">
        <v>486</v>
      </c>
      <c r="E439">
        <v>28.81</v>
      </c>
      <c r="F439" s="1">
        <v>45280</v>
      </c>
      <c r="G439" s="2">
        <v>14001.66</v>
      </c>
      <c r="H439">
        <f>MONTH(product_performance_data[[#This Row],[Date_Sold]])</f>
        <v>12</v>
      </c>
      <c r="I439">
        <f>YEAR(product_performance_data[[#This Row],[Date_Sold]])</f>
        <v>2023</v>
      </c>
      <c r="J439" t="str">
        <f>TEXT(product_performance_data[[#This Row],[Date_Sold]],"ddd")</f>
        <v>Wed</v>
      </c>
    </row>
    <row r="440" spans="1:10" x14ac:dyDescent="0.3">
      <c r="A440" t="s">
        <v>267</v>
      </c>
      <c r="B440" t="s">
        <v>268</v>
      </c>
      <c r="C440" t="s">
        <v>23</v>
      </c>
      <c r="D440">
        <v>50</v>
      </c>
      <c r="E440">
        <v>276.25</v>
      </c>
      <c r="F440" s="1">
        <v>45211</v>
      </c>
      <c r="G440" s="2">
        <v>13812.5</v>
      </c>
      <c r="H440">
        <f>MONTH(product_performance_data[[#This Row],[Date_Sold]])</f>
        <v>10</v>
      </c>
      <c r="I440">
        <f>YEAR(product_performance_data[[#This Row],[Date_Sold]])</f>
        <v>2023</v>
      </c>
      <c r="J440" t="str">
        <f>TEXT(product_performance_data[[#This Row],[Date_Sold]],"ddd")</f>
        <v>Thu</v>
      </c>
    </row>
    <row r="441" spans="1:10" x14ac:dyDescent="0.3">
      <c r="A441" t="s">
        <v>576</v>
      </c>
      <c r="B441" t="s">
        <v>577</v>
      </c>
      <c r="C441" t="s">
        <v>9</v>
      </c>
      <c r="D441">
        <v>864</v>
      </c>
      <c r="E441">
        <v>15.98</v>
      </c>
      <c r="F441" s="1">
        <v>45085</v>
      </c>
      <c r="G441" s="2">
        <v>13806.720000000001</v>
      </c>
      <c r="H441">
        <f>MONTH(product_performance_data[[#This Row],[Date_Sold]])</f>
        <v>6</v>
      </c>
      <c r="I441">
        <f>YEAR(product_performance_data[[#This Row],[Date_Sold]])</f>
        <v>2023</v>
      </c>
      <c r="J441" t="str">
        <f>TEXT(product_performance_data[[#This Row],[Date_Sold]],"ddd")</f>
        <v>Thu</v>
      </c>
    </row>
    <row r="442" spans="1:10" x14ac:dyDescent="0.3">
      <c r="A442" t="s">
        <v>487</v>
      </c>
      <c r="B442" t="s">
        <v>488</v>
      </c>
      <c r="C442" t="s">
        <v>37</v>
      </c>
      <c r="D442">
        <v>642</v>
      </c>
      <c r="E442">
        <v>21</v>
      </c>
      <c r="F442" s="1">
        <v>45199</v>
      </c>
      <c r="G442" s="2">
        <v>13482</v>
      </c>
      <c r="H442">
        <f>MONTH(product_performance_data[[#This Row],[Date_Sold]])</f>
        <v>9</v>
      </c>
      <c r="I442">
        <f>YEAR(product_performance_data[[#This Row],[Date_Sold]])</f>
        <v>2023</v>
      </c>
      <c r="J442" t="str">
        <f>TEXT(product_performance_data[[#This Row],[Date_Sold]],"ddd")</f>
        <v>Sat</v>
      </c>
    </row>
    <row r="443" spans="1:10" x14ac:dyDescent="0.3">
      <c r="A443" t="s">
        <v>686</v>
      </c>
      <c r="B443" t="s">
        <v>687</v>
      </c>
      <c r="C443" t="s">
        <v>37</v>
      </c>
      <c r="D443">
        <v>649</v>
      </c>
      <c r="E443">
        <v>20.74</v>
      </c>
      <c r="F443" s="1">
        <v>45940</v>
      </c>
      <c r="G443" s="2">
        <v>13460.259999999998</v>
      </c>
      <c r="H443">
        <f>MONTH(product_performance_data[[#This Row],[Date_Sold]])</f>
        <v>10</v>
      </c>
      <c r="I443">
        <f>YEAR(product_performance_data[[#This Row],[Date_Sold]])</f>
        <v>2025</v>
      </c>
      <c r="J443" t="str">
        <f>TEXT(product_performance_data[[#This Row],[Date_Sold]],"ddd")</f>
        <v>Fri</v>
      </c>
    </row>
    <row r="444" spans="1:10" x14ac:dyDescent="0.3">
      <c r="A444" t="s">
        <v>19</v>
      </c>
      <c r="B444" t="s">
        <v>20</v>
      </c>
      <c r="C444" t="s">
        <v>12</v>
      </c>
      <c r="D444">
        <v>81</v>
      </c>
      <c r="E444" s="2">
        <v>164.66</v>
      </c>
      <c r="F444" s="1">
        <v>44981</v>
      </c>
      <c r="G444" s="2">
        <v>13337.46</v>
      </c>
      <c r="H444">
        <f>MONTH(product_performance_data[[#This Row],[Date_Sold]])</f>
        <v>2</v>
      </c>
      <c r="I444">
        <f>YEAR(product_performance_data[[#This Row],[Date_Sold]])</f>
        <v>2023</v>
      </c>
      <c r="J444" t="str">
        <f>TEXT(product_performance_data[[#This Row],[Date_Sold]],"ddd")</f>
        <v>Fri</v>
      </c>
    </row>
    <row r="445" spans="1:10" x14ac:dyDescent="0.3">
      <c r="A445" t="s">
        <v>566</v>
      </c>
      <c r="B445" t="s">
        <v>567</v>
      </c>
      <c r="C445" t="s">
        <v>12</v>
      </c>
      <c r="D445" s="10">
        <v>122</v>
      </c>
      <c r="E445">
        <v>107.58</v>
      </c>
      <c r="F445" s="1">
        <v>45431</v>
      </c>
      <c r="G445" s="2">
        <v>13124.76</v>
      </c>
      <c r="H445">
        <f>MONTH(product_performance_data[[#This Row],[Date_Sold]])</f>
        <v>5</v>
      </c>
      <c r="I445">
        <f>YEAR(product_performance_data[[#This Row],[Date_Sold]])</f>
        <v>2024</v>
      </c>
      <c r="J445" t="str">
        <f>TEXT(product_performance_data[[#This Row],[Date_Sold]],"ddd")</f>
        <v>Sun</v>
      </c>
    </row>
    <row r="446" spans="1:10" x14ac:dyDescent="0.3">
      <c r="A446" t="s">
        <v>316</v>
      </c>
      <c r="B446" t="s">
        <v>317</v>
      </c>
      <c r="C446" t="s">
        <v>63</v>
      </c>
      <c r="D446">
        <v>37</v>
      </c>
      <c r="E446">
        <v>340</v>
      </c>
      <c r="F446" s="1">
        <v>45263</v>
      </c>
      <c r="G446" s="2">
        <v>12580</v>
      </c>
      <c r="H446">
        <f>MONTH(product_performance_data[[#This Row],[Date_Sold]])</f>
        <v>12</v>
      </c>
      <c r="I446">
        <f>YEAR(product_performance_data[[#This Row],[Date_Sold]])</f>
        <v>2023</v>
      </c>
      <c r="J446" t="str">
        <f>TEXT(product_performance_data[[#This Row],[Date_Sold]],"ddd")</f>
        <v>Sun</v>
      </c>
    </row>
    <row r="447" spans="1:10" x14ac:dyDescent="0.3">
      <c r="A447" t="s">
        <v>752</v>
      </c>
      <c r="B447" t="s">
        <v>753</v>
      </c>
      <c r="C447" t="s">
        <v>30</v>
      </c>
      <c r="D447">
        <v>217</v>
      </c>
      <c r="E447">
        <v>56.91</v>
      </c>
      <c r="F447" s="1">
        <v>45318</v>
      </c>
      <c r="G447" s="2">
        <v>12349.47</v>
      </c>
      <c r="H447">
        <f>MONTH(product_performance_data[[#This Row],[Date_Sold]])</f>
        <v>1</v>
      </c>
      <c r="I447">
        <f>YEAR(product_performance_data[[#This Row],[Date_Sold]])</f>
        <v>2024</v>
      </c>
      <c r="J447" t="str">
        <f>TEXT(product_performance_data[[#This Row],[Date_Sold]],"ddd")</f>
        <v>Sat</v>
      </c>
    </row>
    <row r="448" spans="1:10" x14ac:dyDescent="0.3">
      <c r="A448" t="s">
        <v>306</v>
      </c>
      <c r="B448" t="s">
        <v>307</v>
      </c>
      <c r="C448" t="s">
        <v>12</v>
      </c>
      <c r="D448">
        <v>388</v>
      </c>
      <c r="E448">
        <v>31.48</v>
      </c>
      <c r="F448" s="1">
        <v>45033</v>
      </c>
      <c r="G448" s="2">
        <v>12214.24</v>
      </c>
      <c r="H448">
        <f>MONTH(product_performance_data[[#This Row],[Date_Sold]])</f>
        <v>4</v>
      </c>
      <c r="I448">
        <f>YEAR(product_performance_data[[#This Row],[Date_Sold]])</f>
        <v>2023</v>
      </c>
      <c r="J448" t="str">
        <f>TEXT(product_performance_data[[#This Row],[Date_Sold]],"ddd")</f>
        <v>Mon</v>
      </c>
    </row>
    <row r="449" spans="1:10" x14ac:dyDescent="0.3">
      <c r="A449" t="s">
        <v>7</v>
      </c>
      <c r="B449" t="s">
        <v>8</v>
      </c>
      <c r="C449" t="s">
        <v>9</v>
      </c>
      <c r="D449">
        <v>112</v>
      </c>
      <c r="E449" s="2">
        <v>108.41</v>
      </c>
      <c r="F449" s="1">
        <v>44927</v>
      </c>
      <c r="G449" s="2">
        <v>12141.92</v>
      </c>
      <c r="H449">
        <f>MONTH(product_performance_data[[#This Row],[Date_Sold]])</f>
        <v>1</v>
      </c>
      <c r="I449">
        <f>YEAR(product_performance_data[[#This Row],[Date_Sold]])</f>
        <v>2023</v>
      </c>
      <c r="J449" t="str">
        <f>TEXT(product_performance_data[[#This Row],[Date_Sold]],"ddd")</f>
        <v>Sun</v>
      </c>
    </row>
    <row r="450" spans="1:10" x14ac:dyDescent="0.3">
      <c r="A450" t="s">
        <v>424</v>
      </c>
      <c r="B450" t="s">
        <v>425</v>
      </c>
      <c r="C450" t="s">
        <v>63</v>
      </c>
      <c r="D450">
        <v>45</v>
      </c>
      <c r="E450">
        <v>266.54000000000002</v>
      </c>
      <c r="F450" s="1">
        <v>45518</v>
      </c>
      <c r="G450" s="2">
        <v>11994.300000000001</v>
      </c>
      <c r="H450">
        <f>MONTH(product_performance_data[[#This Row],[Date_Sold]])</f>
        <v>8</v>
      </c>
      <c r="I450">
        <f>YEAR(product_performance_data[[#This Row],[Date_Sold]])</f>
        <v>2024</v>
      </c>
      <c r="J450" t="str">
        <f>TEXT(product_performance_data[[#This Row],[Date_Sold]],"ddd")</f>
        <v>Wed</v>
      </c>
    </row>
    <row r="451" spans="1:10" x14ac:dyDescent="0.3">
      <c r="A451" t="s">
        <v>327</v>
      </c>
      <c r="B451" t="s">
        <v>328</v>
      </c>
      <c r="C451" t="s">
        <v>12</v>
      </c>
      <c r="D451">
        <v>42</v>
      </c>
      <c r="E451">
        <v>263.45999999999998</v>
      </c>
      <c r="F451" s="1">
        <v>45308</v>
      </c>
      <c r="G451" s="2">
        <v>11721.359999999999</v>
      </c>
      <c r="H451">
        <f>MONTH(product_performance_data[[#This Row],[Date_Sold]])</f>
        <v>1</v>
      </c>
      <c r="I451">
        <f>YEAR(product_performance_data[[#This Row],[Date_Sold]])</f>
        <v>2024</v>
      </c>
      <c r="J451" t="str">
        <f>TEXT(product_performance_data[[#This Row],[Date_Sold]],"ddd")</f>
        <v>Wed</v>
      </c>
    </row>
    <row r="452" spans="1:10" x14ac:dyDescent="0.3">
      <c r="A452" t="s">
        <v>563</v>
      </c>
      <c r="B452" t="s">
        <v>564</v>
      </c>
      <c r="C452" t="s">
        <v>63</v>
      </c>
      <c r="D452">
        <v>90</v>
      </c>
      <c r="E452">
        <v>129.46</v>
      </c>
      <c r="F452" s="1">
        <v>45551</v>
      </c>
      <c r="G452" s="2">
        <v>11651.400000000001</v>
      </c>
      <c r="H452">
        <f>MONTH(product_performance_data[[#This Row],[Date_Sold]])</f>
        <v>9</v>
      </c>
      <c r="I452">
        <f>YEAR(product_performance_data[[#This Row],[Date_Sold]])</f>
        <v>2024</v>
      </c>
      <c r="J452" t="str">
        <f>TEXT(product_performance_data[[#This Row],[Date_Sold]],"ddd")</f>
        <v>Mon</v>
      </c>
    </row>
    <row r="453" spans="1:10" x14ac:dyDescent="0.3">
      <c r="A453" t="s">
        <v>866</v>
      </c>
      <c r="B453" t="s">
        <v>867</v>
      </c>
      <c r="C453" t="s">
        <v>37</v>
      </c>
      <c r="D453">
        <v>239</v>
      </c>
      <c r="E453">
        <v>48.21</v>
      </c>
      <c r="F453" s="1">
        <v>45105</v>
      </c>
      <c r="G453" s="2">
        <v>11522.19</v>
      </c>
      <c r="H453">
        <f>MONTH(product_performance_data[[#This Row],[Date_Sold]])</f>
        <v>6</v>
      </c>
      <c r="I453">
        <f>YEAR(product_performance_data[[#This Row],[Date_Sold]])</f>
        <v>2023</v>
      </c>
      <c r="J453" t="str">
        <f>TEXT(product_performance_data[[#This Row],[Date_Sold]],"ddd")</f>
        <v>Wed</v>
      </c>
    </row>
    <row r="454" spans="1:10" x14ac:dyDescent="0.3">
      <c r="A454" t="s">
        <v>858</v>
      </c>
      <c r="B454" t="s">
        <v>859</v>
      </c>
      <c r="C454" t="s">
        <v>12</v>
      </c>
      <c r="D454">
        <v>31</v>
      </c>
      <c r="E454">
        <v>369.44</v>
      </c>
      <c r="F454" s="1">
        <v>45175</v>
      </c>
      <c r="G454" s="2">
        <v>11452.64</v>
      </c>
      <c r="H454">
        <f>MONTH(product_performance_data[[#This Row],[Date_Sold]])</f>
        <v>9</v>
      </c>
      <c r="I454">
        <f>YEAR(product_performance_data[[#This Row],[Date_Sold]])</f>
        <v>2023</v>
      </c>
      <c r="J454" t="str">
        <f>TEXT(product_performance_data[[#This Row],[Date_Sold]],"ddd")</f>
        <v>Wed</v>
      </c>
    </row>
    <row r="455" spans="1:10" x14ac:dyDescent="0.3">
      <c r="A455" t="s">
        <v>464</v>
      </c>
      <c r="B455" t="s">
        <v>465</v>
      </c>
      <c r="C455" t="s">
        <v>63</v>
      </c>
      <c r="D455">
        <v>340</v>
      </c>
      <c r="E455">
        <v>33.64</v>
      </c>
      <c r="F455" s="1">
        <v>45158</v>
      </c>
      <c r="G455" s="2">
        <v>11437.6</v>
      </c>
      <c r="H455">
        <f>MONTH(product_performance_data[[#This Row],[Date_Sold]])</f>
        <v>8</v>
      </c>
      <c r="I455">
        <f>YEAR(product_performance_data[[#This Row],[Date_Sold]])</f>
        <v>2023</v>
      </c>
      <c r="J455" t="str">
        <f>TEXT(product_performance_data[[#This Row],[Date_Sold]],"ddd")</f>
        <v>Sun</v>
      </c>
    </row>
    <row r="456" spans="1:10" x14ac:dyDescent="0.3">
      <c r="A456" t="s">
        <v>122</v>
      </c>
      <c r="B456" t="s">
        <v>123</v>
      </c>
      <c r="C456" t="s">
        <v>9</v>
      </c>
      <c r="D456">
        <v>253</v>
      </c>
      <c r="E456">
        <v>45.03</v>
      </c>
      <c r="F456" s="1">
        <v>45180</v>
      </c>
      <c r="G456" s="2">
        <v>11392.59</v>
      </c>
      <c r="H456">
        <f>MONTH(product_performance_data[[#This Row],[Date_Sold]])</f>
        <v>9</v>
      </c>
      <c r="I456">
        <f>YEAR(product_performance_data[[#This Row],[Date_Sold]])</f>
        <v>2023</v>
      </c>
      <c r="J456" t="str">
        <f>TEXT(product_performance_data[[#This Row],[Date_Sold]],"ddd")</f>
        <v>Mon</v>
      </c>
    </row>
    <row r="457" spans="1:10" x14ac:dyDescent="0.3">
      <c r="A457" t="s">
        <v>822</v>
      </c>
      <c r="B457" t="s">
        <v>823</v>
      </c>
      <c r="C457" t="s">
        <v>30</v>
      </c>
      <c r="D457">
        <v>810</v>
      </c>
      <c r="E457">
        <v>14.03</v>
      </c>
      <c r="F457" s="1">
        <v>44960</v>
      </c>
      <c r="G457" s="2">
        <v>11364.3</v>
      </c>
      <c r="H457">
        <f>MONTH(product_performance_data[[#This Row],[Date_Sold]])</f>
        <v>2</v>
      </c>
      <c r="I457">
        <f>YEAR(product_performance_data[[#This Row],[Date_Sold]])</f>
        <v>2023</v>
      </c>
      <c r="J457" t="str">
        <f>TEXT(product_performance_data[[#This Row],[Date_Sold]],"ddd")</f>
        <v>Fri</v>
      </c>
    </row>
    <row r="458" spans="1:10" x14ac:dyDescent="0.3">
      <c r="A458" t="s">
        <v>78</v>
      </c>
      <c r="B458" t="s">
        <v>79</v>
      </c>
      <c r="C458" t="s">
        <v>9</v>
      </c>
      <c r="D458">
        <v>469</v>
      </c>
      <c r="E458" s="2">
        <v>24.22</v>
      </c>
      <c r="F458" s="1">
        <v>45638</v>
      </c>
      <c r="G458" s="2">
        <v>11359.18</v>
      </c>
      <c r="H458">
        <f>MONTH(product_performance_data[[#This Row],[Date_Sold]])</f>
        <v>12</v>
      </c>
      <c r="I458">
        <f>YEAR(product_performance_data[[#This Row],[Date_Sold]])</f>
        <v>2024</v>
      </c>
      <c r="J458" t="str">
        <f>TEXT(product_performance_data[[#This Row],[Date_Sold]],"ddd")</f>
        <v>Thu</v>
      </c>
    </row>
    <row r="459" spans="1:10" x14ac:dyDescent="0.3">
      <c r="A459" t="s">
        <v>845</v>
      </c>
      <c r="B459" t="s">
        <v>846</v>
      </c>
      <c r="C459" t="s">
        <v>23</v>
      </c>
      <c r="D459">
        <v>42</v>
      </c>
      <c r="E459">
        <v>269.83999999999997</v>
      </c>
      <c r="F459" s="1">
        <v>45721</v>
      </c>
      <c r="G459" s="2">
        <v>11333.279999999999</v>
      </c>
      <c r="H459">
        <f>MONTH(product_performance_data[[#This Row],[Date_Sold]])</f>
        <v>3</v>
      </c>
      <c r="I459">
        <f>YEAR(product_performance_data[[#This Row],[Date_Sold]])</f>
        <v>2025</v>
      </c>
      <c r="J459" t="str">
        <f>TEXT(product_performance_data[[#This Row],[Date_Sold]],"ddd")</f>
        <v>Wed</v>
      </c>
    </row>
    <row r="460" spans="1:10" x14ac:dyDescent="0.3">
      <c r="A460" t="s">
        <v>180</v>
      </c>
      <c r="B460" t="s">
        <v>181</v>
      </c>
      <c r="C460" t="s">
        <v>9</v>
      </c>
      <c r="D460">
        <v>44</v>
      </c>
      <c r="E460">
        <v>235.01</v>
      </c>
      <c r="F460" s="1">
        <v>45648</v>
      </c>
      <c r="G460" s="2">
        <v>10340.439999999999</v>
      </c>
      <c r="H460">
        <f>MONTH(product_performance_data[[#This Row],[Date_Sold]])</f>
        <v>12</v>
      </c>
      <c r="I460">
        <f>YEAR(product_performance_data[[#This Row],[Date_Sold]])</f>
        <v>2024</v>
      </c>
      <c r="J460" t="str">
        <f>TEXT(product_performance_data[[#This Row],[Date_Sold]],"ddd")</f>
        <v>Sun</v>
      </c>
    </row>
    <row r="461" spans="1:10" x14ac:dyDescent="0.3">
      <c r="A461" t="s">
        <v>964</v>
      </c>
      <c r="B461" t="s">
        <v>965</v>
      </c>
      <c r="C461" t="s">
        <v>9</v>
      </c>
      <c r="D461">
        <v>265</v>
      </c>
      <c r="E461">
        <v>37.979999999999997</v>
      </c>
      <c r="F461" s="1">
        <v>45266</v>
      </c>
      <c r="G461" s="2">
        <v>10064.699999999999</v>
      </c>
      <c r="H461">
        <f>MONTH(product_performance_data[[#This Row],[Date_Sold]])</f>
        <v>12</v>
      </c>
      <c r="I461">
        <f>YEAR(product_performance_data[[#This Row],[Date_Sold]])</f>
        <v>2023</v>
      </c>
      <c r="J461" t="str">
        <f>TEXT(product_performance_data[[#This Row],[Date_Sold]],"ddd")</f>
        <v>Wed</v>
      </c>
    </row>
    <row r="462" spans="1:10" x14ac:dyDescent="0.3">
      <c r="A462" t="s">
        <v>733</v>
      </c>
      <c r="B462" t="s">
        <v>734</v>
      </c>
      <c r="C462" t="s">
        <v>23</v>
      </c>
      <c r="D462">
        <v>263</v>
      </c>
      <c r="E462">
        <v>35.86</v>
      </c>
      <c r="F462" s="1">
        <v>44981</v>
      </c>
      <c r="G462" s="2">
        <v>9431.18</v>
      </c>
      <c r="H462">
        <f>MONTH(product_performance_data[[#This Row],[Date_Sold]])</f>
        <v>2</v>
      </c>
      <c r="I462">
        <f>YEAR(product_performance_data[[#This Row],[Date_Sold]])</f>
        <v>2023</v>
      </c>
      <c r="J462" t="str">
        <f>TEXT(product_performance_data[[#This Row],[Date_Sold]],"ddd")</f>
        <v>Fri</v>
      </c>
    </row>
    <row r="463" spans="1:10" x14ac:dyDescent="0.3">
      <c r="A463" t="s">
        <v>150</v>
      </c>
      <c r="B463" t="s">
        <v>151</v>
      </c>
      <c r="C463" t="s">
        <v>12</v>
      </c>
      <c r="D463">
        <v>23</v>
      </c>
      <c r="E463">
        <v>366.37</v>
      </c>
      <c r="F463" s="1">
        <v>45251</v>
      </c>
      <c r="G463" s="2">
        <v>8426.51</v>
      </c>
      <c r="H463">
        <f>MONTH(product_performance_data[[#This Row],[Date_Sold]])</f>
        <v>11</v>
      </c>
      <c r="I463">
        <f>YEAR(product_performance_data[[#This Row],[Date_Sold]])</f>
        <v>2023</v>
      </c>
      <c r="J463" t="str">
        <f>TEXT(product_performance_data[[#This Row],[Date_Sold]],"ddd")</f>
        <v>Tue</v>
      </c>
    </row>
    <row r="464" spans="1:10" x14ac:dyDescent="0.3">
      <c r="A464" t="s">
        <v>82</v>
      </c>
      <c r="B464" t="s">
        <v>83</v>
      </c>
      <c r="C464" t="s">
        <v>23</v>
      </c>
      <c r="D464">
        <v>31</v>
      </c>
      <c r="E464" s="2">
        <v>270.86</v>
      </c>
      <c r="F464" s="1">
        <v>45019</v>
      </c>
      <c r="G464" s="2">
        <v>8396.66</v>
      </c>
      <c r="H464">
        <f>MONTH(product_performance_data[[#This Row],[Date_Sold]])</f>
        <v>4</v>
      </c>
      <c r="I464">
        <f>YEAR(product_performance_data[[#This Row],[Date_Sold]])</f>
        <v>2023</v>
      </c>
      <c r="J464" t="str">
        <f>TEXT(product_performance_data[[#This Row],[Date_Sold]],"ddd")</f>
        <v>Mon</v>
      </c>
    </row>
    <row r="465" spans="1:10" x14ac:dyDescent="0.3">
      <c r="A465" t="s">
        <v>252</v>
      </c>
      <c r="B465" t="s">
        <v>253</v>
      </c>
      <c r="C465" t="s">
        <v>37</v>
      </c>
      <c r="D465">
        <v>62</v>
      </c>
      <c r="E465">
        <v>134.04</v>
      </c>
      <c r="F465" s="1">
        <v>45437</v>
      </c>
      <c r="G465" s="2">
        <v>8310.48</v>
      </c>
      <c r="H465">
        <f>MONTH(product_performance_data[[#This Row],[Date_Sold]])</f>
        <v>5</v>
      </c>
      <c r="I465">
        <f>YEAR(product_performance_data[[#This Row],[Date_Sold]])</f>
        <v>2024</v>
      </c>
      <c r="J465" t="str">
        <f>TEXT(product_performance_data[[#This Row],[Date_Sold]],"ddd")</f>
        <v>Sat</v>
      </c>
    </row>
    <row r="466" spans="1:10" x14ac:dyDescent="0.3">
      <c r="A466" t="s">
        <v>877</v>
      </c>
      <c r="B466" t="s">
        <v>878</v>
      </c>
      <c r="C466" t="s">
        <v>9</v>
      </c>
      <c r="D466">
        <v>36</v>
      </c>
      <c r="E466">
        <v>229.86</v>
      </c>
      <c r="F466" s="1">
        <v>46020</v>
      </c>
      <c r="G466" s="2">
        <v>8274.9600000000009</v>
      </c>
      <c r="H466">
        <f>MONTH(product_performance_data[[#This Row],[Date_Sold]])</f>
        <v>12</v>
      </c>
      <c r="I466">
        <f>YEAR(product_performance_data[[#This Row],[Date_Sold]])</f>
        <v>2025</v>
      </c>
      <c r="J466" t="str">
        <f>TEXT(product_performance_data[[#This Row],[Date_Sold]],"ddd")</f>
        <v>Mon</v>
      </c>
    </row>
    <row r="467" spans="1:10" x14ac:dyDescent="0.3">
      <c r="A467" t="s">
        <v>641</v>
      </c>
      <c r="B467" t="s">
        <v>642</v>
      </c>
      <c r="C467" t="s">
        <v>23</v>
      </c>
      <c r="D467">
        <v>210</v>
      </c>
      <c r="E467">
        <v>37.79</v>
      </c>
      <c r="F467" s="1">
        <v>45290</v>
      </c>
      <c r="G467" s="2">
        <v>7935.9</v>
      </c>
      <c r="H467">
        <f>MONTH(product_performance_data[[#This Row],[Date_Sold]])</f>
        <v>12</v>
      </c>
      <c r="I467">
        <f>YEAR(product_performance_data[[#This Row],[Date_Sold]])</f>
        <v>2023</v>
      </c>
      <c r="J467" t="str">
        <f>TEXT(product_performance_data[[#This Row],[Date_Sold]],"ddd")</f>
        <v>Sat</v>
      </c>
    </row>
    <row r="468" spans="1:10" x14ac:dyDescent="0.3">
      <c r="A468" t="s">
        <v>803</v>
      </c>
      <c r="B468" t="s">
        <v>804</v>
      </c>
      <c r="C468" t="s">
        <v>63</v>
      </c>
      <c r="D468">
        <v>887</v>
      </c>
      <c r="E468">
        <v>8.73</v>
      </c>
      <c r="F468" s="1">
        <v>45880</v>
      </c>
      <c r="G468" s="2">
        <v>7743.51</v>
      </c>
      <c r="H468">
        <f>MONTH(product_performance_data[[#This Row],[Date_Sold]])</f>
        <v>8</v>
      </c>
      <c r="I468">
        <f>YEAR(product_performance_data[[#This Row],[Date_Sold]])</f>
        <v>2025</v>
      </c>
      <c r="J468" t="str">
        <f>TEXT(product_performance_data[[#This Row],[Date_Sold]],"ddd")</f>
        <v>Mon</v>
      </c>
    </row>
    <row r="469" spans="1:10" x14ac:dyDescent="0.3">
      <c r="A469" t="s">
        <v>152</v>
      </c>
      <c r="B469" t="s">
        <v>153</v>
      </c>
      <c r="C469" t="s">
        <v>9</v>
      </c>
      <c r="D469">
        <v>251</v>
      </c>
      <c r="E469">
        <v>28.62</v>
      </c>
      <c r="F469" s="1">
        <v>45348</v>
      </c>
      <c r="G469" s="2">
        <v>7183.62</v>
      </c>
      <c r="H469">
        <f>MONTH(product_performance_data[[#This Row],[Date_Sold]])</f>
        <v>2</v>
      </c>
      <c r="I469">
        <f>YEAR(product_performance_data[[#This Row],[Date_Sold]])</f>
        <v>2024</v>
      </c>
      <c r="J469" t="str">
        <f>TEXT(product_performance_data[[#This Row],[Date_Sold]],"ddd")</f>
        <v>Mon</v>
      </c>
    </row>
    <row r="470" spans="1:10" x14ac:dyDescent="0.3">
      <c r="A470" t="s">
        <v>383</v>
      </c>
      <c r="B470" t="s">
        <v>384</v>
      </c>
      <c r="C470" t="s">
        <v>30</v>
      </c>
      <c r="D470">
        <v>24</v>
      </c>
      <c r="E470">
        <v>297.98</v>
      </c>
      <c r="F470" s="1">
        <v>45139</v>
      </c>
      <c r="G470" s="2">
        <v>7151.52</v>
      </c>
      <c r="H470">
        <f>MONTH(product_performance_data[[#This Row],[Date_Sold]])</f>
        <v>8</v>
      </c>
      <c r="I470">
        <f>YEAR(product_performance_data[[#This Row],[Date_Sold]])</f>
        <v>2023</v>
      </c>
      <c r="J470" t="str">
        <f>TEXT(product_performance_data[[#This Row],[Date_Sold]],"ddd")</f>
        <v>Tue</v>
      </c>
    </row>
    <row r="471" spans="1:10" x14ac:dyDescent="0.3">
      <c r="A471" t="s">
        <v>834</v>
      </c>
      <c r="B471" t="s">
        <v>790</v>
      </c>
      <c r="C471" t="s">
        <v>12</v>
      </c>
      <c r="D471">
        <v>905</v>
      </c>
      <c r="E471">
        <v>7.62</v>
      </c>
      <c r="F471" s="1">
        <v>44931</v>
      </c>
      <c r="G471" s="2">
        <v>6896.1</v>
      </c>
      <c r="H471">
        <f>MONTH(product_performance_data[[#This Row],[Date_Sold]])</f>
        <v>1</v>
      </c>
      <c r="I471">
        <f>YEAR(product_performance_data[[#This Row],[Date_Sold]])</f>
        <v>2023</v>
      </c>
      <c r="J471" t="str">
        <f>TEXT(product_performance_data[[#This Row],[Date_Sold]],"ddd")</f>
        <v>Thu</v>
      </c>
    </row>
    <row r="472" spans="1:10" x14ac:dyDescent="0.3">
      <c r="A472" t="s">
        <v>271</v>
      </c>
      <c r="B472" t="s">
        <v>272</v>
      </c>
      <c r="C472" t="s">
        <v>12</v>
      </c>
      <c r="D472">
        <v>24</v>
      </c>
      <c r="E472">
        <v>286.42</v>
      </c>
      <c r="F472" s="1">
        <v>45559</v>
      </c>
      <c r="G472" s="2">
        <v>6874.08</v>
      </c>
      <c r="H472">
        <f>MONTH(product_performance_data[[#This Row],[Date_Sold]])</f>
        <v>9</v>
      </c>
      <c r="I472">
        <f>YEAR(product_performance_data[[#This Row],[Date_Sold]])</f>
        <v>2024</v>
      </c>
      <c r="J472" t="str">
        <f>TEXT(product_performance_data[[#This Row],[Date_Sold]],"ddd")</f>
        <v>Tue</v>
      </c>
    </row>
    <row r="473" spans="1:10" x14ac:dyDescent="0.3">
      <c r="A473" t="s">
        <v>743</v>
      </c>
      <c r="B473" t="s">
        <v>744</v>
      </c>
      <c r="C473" t="s">
        <v>37</v>
      </c>
      <c r="D473">
        <v>18</v>
      </c>
      <c r="E473">
        <v>376.06</v>
      </c>
      <c r="F473" s="1">
        <v>45846</v>
      </c>
      <c r="G473" s="2">
        <v>6769.08</v>
      </c>
      <c r="H473">
        <f>MONTH(product_performance_data[[#This Row],[Date_Sold]])</f>
        <v>7</v>
      </c>
      <c r="I473">
        <f>YEAR(product_performance_data[[#This Row],[Date_Sold]])</f>
        <v>2025</v>
      </c>
      <c r="J473" t="str">
        <f>TEXT(product_performance_data[[#This Row],[Date_Sold]],"ddd")</f>
        <v>Tue</v>
      </c>
    </row>
    <row r="474" spans="1:10" x14ac:dyDescent="0.3">
      <c r="A474" t="s">
        <v>572</v>
      </c>
      <c r="B474" t="s">
        <v>573</v>
      </c>
      <c r="C474" t="s">
        <v>9</v>
      </c>
      <c r="D474">
        <v>229</v>
      </c>
      <c r="E474">
        <v>28.21</v>
      </c>
      <c r="F474" s="1">
        <v>45612</v>
      </c>
      <c r="G474" s="2">
        <v>6460.09</v>
      </c>
      <c r="H474">
        <f>MONTH(product_performance_data[[#This Row],[Date_Sold]])</f>
        <v>11</v>
      </c>
      <c r="I474">
        <f>YEAR(product_performance_data[[#This Row],[Date_Sold]])</f>
        <v>2024</v>
      </c>
      <c r="J474" t="str">
        <f>TEXT(product_performance_data[[#This Row],[Date_Sold]],"ddd")</f>
        <v>Sat</v>
      </c>
    </row>
    <row r="475" spans="1:10" x14ac:dyDescent="0.3">
      <c r="A475" t="s">
        <v>761</v>
      </c>
      <c r="B475" t="s">
        <v>762</v>
      </c>
      <c r="C475" t="s">
        <v>37</v>
      </c>
      <c r="D475">
        <v>129</v>
      </c>
      <c r="E475">
        <v>49.16</v>
      </c>
      <c r="F475" s="1">
        <v>45817</v>
      </c>
      <c r="G475" s="2">
        <v>6341.6399999999994</v>
      </c>
      <c r="H475">
        <f>MONTH(product_performance_data[[#This Row],[Date_Sold]])</f>
        <v>6</v>
      </c>
      <c r="I475">
        <f>YEAR(product_performance_data[[#This Row],[Date_Sold]])</f>
        <v>2025</v>
      </c>
      <c r="J475" t="str">
        <f>TEXT(product_performance_data[[#This Row],[Date_Sold]],"ddd")</f>
        <v>Mon</v>
      </c>
    </row>
    <row r="476" spans="1:10" x14ac:dyDescent="0.3">
      <c r="A476" t="s">
        <v>329</v>
      </c>
      <c r="B476" t="s">
        <v>330</v>
      </c>
      <c r="C476" t="s">
        <v>23</v>
      </c>
      <c r="D476">
        <v>57</v>
      </c>
      <c r="E476">
        <v>110.3</v>
      </c>
      <c r="F476" s="1">
        <v>45718</v>
      </c>
      <c r="G476" s="2">
        <v>6287.0999999999995</v>
      </c>
      <c r="H476">
        <f>MONTH(product_performance_data[[#This Row],[Date_Sold]])</f>
        <v>3</v>
      </c>
      <c r="I476">
        <f>YEAR(product_performance_data[[#This Row],[Date_Sold]])</f>
        <v>2025</v>
      </c>
      <c r="J476" t="str">
        <f>TEXT(product_performance_data[[#This Row],[Date_Sold]],"ddd")</f>
        <v>Sun</v>
      </c>
    </row>
    <row r="477" spans="1:10" x14ac:dyDescent="0.3">
      <c r="A477" t="s">
        <v>366</v>
      </c>
      <c r="B477" t="s">
        <v>367</v>
      </c>
      <c r="C477" t="s">
        <v>37</v>
      </c>
      <c r="D477">
        <v>14</v>
      </c>
      <c r="E477">
        <v>446.49</v>
      </c>
      <c r="F477" s="1">
        <v>45296</v>
      </c>
      <c r="G477" s="2">
        <v>6250.8600000000006</v>
      </c>
      <c r="H477">
        <f>MONTH(product_performance_data[[#This Row],[Date_Sold]])</f>
        <v>1</v>
      </c>
      <c r="I477">
        <f>YEAR(product_performance_data[[#This Row],[Date_Sold]])</f>
        <v>2024</v>
      </c>
      <c r="J477" t="str">
        <f>TEXT(product_performance_data[[#This Row],[Date_Sold]],"ddd")</f>
        <v>Fri</v>
      </c>
    </row>
    <row r="478" spans="1:10" x14ac:dyDescent="0.3">
      <c r="A478" t="s">
        <v>891</v>
      </c>
      <c r="B478" t="s">
        <v>892</v>
      </c>
      <c r="C478" t="s">
        <v>23</v>
      </c>
      <c r="D478">
        <v>969</v>
      </c>
      <c r="E478">
        <v>6.34</v>
      </c>
      <c r="F478" s="1">
        <v>45963</v>
      </c>
      <c r="G478" s="2">
        <v>6143.46</v>
      </c>
      <c r="H478">
        <f>MONTH(product_performance_data[[#This Row],[Date_Sold]])</f>
        <v>11</v>
      </c>
      <c r="I478">
        <f>YEAR(product_performance_data[[#This Row],[Date_Sold]])</f>
        <v>2025</v>
      </c>
      <c r="J478" t="str">
        <f>TEXT(product_performance_data[[#This Row],[Date_Sold]],"ddd")</f>
        <v>Sun</v>
      </c>
    </row>
    <row r="479" spans="1:10" x14ac:dyDescent="0.3">
      <c r="A479" t="s">
        <v>541</v>
      </c>
      <c r="B479" t="s">
        <v>542</v>
      </c>
      <c r="C479" t="s">
        <v>30</v>
      </c>
      <c r="D479">
        <v>506</v>
      </c>
      <c r="E479">
        <v>11.77</v>
      </c>
      <c r="F479" s="1">
        <v>45146</v>
      </c>
      <c r="G479" s="2">
        <v>5955.62</v>
      </c>
      <c r="H479">
        <f>MONTH(product_performance_data[[#This Row],[Date_Sold]])</f>
        <v>8</v>
      </c>
      <c r="I479">
        <f>YEAR(product_performance_data[[#This Row],[Date_Sold]])</f>
        <v>2023</v>
      </c>
      <c r="J479" t="str">
        <f>TEXT(product_performance_data[[#This Row],[Date_Sold]],"ddd")</f>
        <v>Tue</v>
      </c>
    </row>
    <row r="480" spans="1:10" x14ac:dyDescent="0.3">
      <c r="A480" t="s">
        <v>970</v>
      </c>
      <c r="B480" t="s">
        <v>971</v>
      </c>
      <c r="C480" t="s">
        <v>12</v>
      </c>
      <c r="D480">
        <v>27</v>
      </c>
      <c r="E480">
        <v>218.61</v>
      </c>
      <c r="F480" s="1">
        <v>45381</v>
      </c>
      <c r="G480" s="2">
        <v>5902.47</v>
      </c>
      <c r="H480">
        <f>MONTH(product_performance_data[[#This Row],[Date_Sold]])</f>
        <v>3</v>
      </c>
      <c r="I480">
        <f>YEAR(product_performance_data[[#This Row],[Date_Sold]])</f>
        <v>2024</v>
      </c>
      <c r="J480" t="str">
        <f>TEXT(product_performance_data[[#This Row],[Date_Sold]],"ddd")</f>
        <v>Sat</v>
      </c>
    </row>
    <row r="481" spans="1:10" x14ac:dyDescent="0.3">
      <c r="A481" t="s">
        <v>172</v>
      </c>
      <c r="B481" t="s">
        <v>173</v>
      </c>
      <c r="C481" t="s">
        <v>37</v>
      </c>
      <c r="D481">
        <v>437</v>
      </c>
      <c r="E481">
        <v>13.49</v>
      </c>
      <c r="F481" s="1">
        <v>45021</v>
      </c>
      <c r="G481" s="2">
        <v>5895.13</v>
      </c>
      <c r="H481">
        <f>MONTH(product_performance_data[[#This Row],[Date_Sold]])</f>
        <v>4</v>
      </c>
      <c r="I481">
        <f>YEAR(product_performance_data[[#This Row],[Date_Sold]])</f>
        <v>2023</v>
      </c>
      <c r="J481" t="str">
        <f>TEXT(product_performance_data[[#This Row],[Date_Sold]],"ddd")</f>
        <v>Wed</v>
      </c>
    </row>
    <row r="482" spans="1:10" x14ac:dyDescent="0.3">
      <c r="A482" t="s">
        <v>933</v>
      </c>
      <c r="B482" t="s">
        <v>934</v>
      </c>
      <c r="C482" t="s">
        <v>63</v>
      </c>
      <c r="D482">
        <v>46</v>
      </c>
      <c r="E482">
        <v>121.67</v>
      </c>
      <c r="F482" s="1">
        <v>45261</v>
      </c>
      <c r="G482" s="2">
        <v>5596.82</v>
      </c>
      <c r="H482">
        <f>MONTH(product_performance_data[[#This Row],[Date_Sold]])</f>
        <v>12</v>
      </c>
      <c r="I482">
        <f>YEAR(product_performance_data[[#This Row],[Date_Sold]])</f>
        <v>2023</v>
      </c>
      <c r="J482" t="str">
        <f>TEXT(product_performance_data[[#This Row],[Date_Sold]],"ddd")</f>
        <v>Fri</v>
      </c>
    </row>
    <row r="483" spans="1:10" x14ac:dyDescent="0.3">
      <c r="A483" t="s">
        <v>164</v>
      </c>
      <c r="B483" t="s">
        <v>165</v>
      </c>
      <c r="C483" t="s">
        <v>30</v>
      </c>
      <c r="D483">
        <v>101</v>
      </c>
      <c r="E483">
        <v>51.61</v>
      </c>
      <c r="F483" s="1">
        <v>45574</v>
      </c>
      <c r="G483" s="2">
        <v>5212.6099999999997</v>
      </c>
      <c r="H483">
        <f>MONTH(product_performance_data[[#This Row],[Date_Sold]])</f>
        <v>10</v>
      </c>
      <c r="I483">
        <f>YEAR(product_performance_data[[#This Row],[Date_Sold]])</f>
        <v>2024</v>
      </c>
      <c r="J483" t="str">
        <f>TEXT(product_performance_data[[#This Row],[Date_Sold]],"ddd")</f>
        <v>Wed</v>
      </c>
    </row>
    <row r="484" spans="1:10" x14ac:dyDescent="0.3">
      <c r="A484" t="s">
        <v>194</v>
      </c>
      <c r="B484" t="s">
        <v>195</v>
      </c>
      <c r="C484" t="s">
        <v>12</v>
      </c>
      <c r="D484">
        <v>11</v>
      </c>
      <c r="E484">
        <v>467.05</v>
      </c>
      <c r="F484" s="1">
        <v>45361</v>
      </c>
      <c r="G484" s="2">
        <v>5137.55</v>
      </c>
      <c r="H484">
        <f>MONTH(product_performance_data[[#This Row],[Date_Sold]])</f>
        <v>3</v>
      </c>
      <c r="I484">
        <f>YEAR(product_performance_data[[#This Row],[Date_Sold]])</f>
        <v>2024</v>
      </c>
      <c r="J484" t="str">
        <f>TEXT(product_performance_data[[#This Row],[Date_Sold]],"ddd")</f>
        <v>Sun</v>
      </c>
    </row>
    <row r="485" spans="1:10" x14ac:dyDescent="0.3">
      <c r="A485" t="s">
        <v>192</v>
      </c>
      <c r="B485" t="s">
        <v>193</v>
      </c>
      <c r="C485" t="s">
        <v>30</v>
      </c>
      <c r="D485">
        <v>397</v>
      </c>
      <c r="E485">
        <v>12.58</v>
      </c>
      <c r="F485" s="1">
        <v>45815</v>
      </c>
      <c r="G485" s="2">
        <v>4994.26</v>
      </c>
      <c r="H485">
        <f>MONTH(product_performance_data[[#This Row],[Date_Sold]])</f>
        <v>6</v>
      </c>
      <c r="I485">
        <f>YEAR(product_performance_data[[#This Row],[Date_Sold]])</f>
        <v>2025</v>
      </c>
      <c r="J485" t="str">
        <f>TEXT(product_performance_data[[#This Row],[Date_Sold]],"ddd")</f>
        <v>Sat</v>
      </c>
    </row>
    <row r="486" spans="1:10" x14ac:dyDescent="0.3">
      <c r="A486" t="s">
        <v>745</v>
      </c>
      <c r="B486" t="s">
        <v>746</v>
      </c>
      <c r="C486" t="s">
        <v>23</v>
      </c>
      <c r="D486">
        <v>242</v>
      </c>
      <c r="E486">
        <v>20.079999999999998</v>
      </c>
      <c r="F486" s="1">
        <v>45118</v>
      </c>
      <c r="G486" s="2">
        <v>4859.3599999999997</v>
      </c>
      <c r="H486">
        <f>MONTH(product_performance_data[[#This Row],[Date_Sold]])</f>
        <v>7</v>
      </c>
      <c r="I486">
        <f>YEAR(product_performance_data[[#This Row],[Date_Sold]])</f>
        <v>2023</v>
      </c>
      <c r="J486" t="str">
        <f>TEXT(product_performance_data[[#This Row],[Date_Sold]],"ddd")</f>
        <v>Tue</v>
      </c>
    </row>
    <row r="487" spans="1:10" x14ac:dyDescent="0.3">
      <c r="A487" t="s">
        <v>568</v>
      </c>
      <c r="B487" t="s">
        <v>569</v>
      </c>
      <c r="C487" t="s">
        <v>12</v>
      </c>
      <c r="D487">
        <v>11</v>
      </c>
      <c r="E487">
        <v>439.72</v>
      </c>
      <c r="F487" s="1">
        <v>45765</v>
      </c>
      <c r="G487" s="2">
        <v>4836.92</v>
      </c>
      <c r="H487">
        <f>MONTH(product_performance_data[[#This Row],[Date_Sold]])</f>
        <v>4</v>
      </c>
      <c r="I487">
        <f>YEAR(product_performance_data[[#This Row],[Date_Sold]])</f>
        <v>2025</v>
      </c>
      <c r="J487" t="str">
        <f>TEXT(product_performance_data[[#This Row],[Date_Sold]],"ddd")</f>
        <v>Fri</v>
      </c>
    </row>
    <row r="488" spans="1:10" x14ac:dyDescent="0.3">
      <c r="A488" t="s">
        <v>262</v>
      </c>
      <c r="B488" t="s">
        <v>263</v>
      </c>
      <c r="C488" t="s">
        <v>37</v>
      </c>
      <c r="D488">
        <v>197</v>
      </c>
      <c r="E488">
        <v>24.4</v>
      </c>
      <c r="F488" s="1">
        <v>45594</v>
      </c>
      <c r="G488" s="2">
        <v>4806.7999999999993</v>
      </c>
      <c r="H488">
        <f>MONTH(product_performance_data[[#This Row],[Date_Sold]])</f>
        <v>10</v>
      </c>
      <c r="I488">
        <f>YEAR(product_performance_data[[#This Row],[Date_Sold]])</f>
        <v>2024</v>
      </c>
      <c r="J488" t="str">
        <f>TEXT(product_performance_data[[#This Row],[Date_Sold]],"ddd")</f>
        <v>Tue</v>
      </c>
    </row>
    <row r="489" spans="1:10" x14ac:dyDescent="0.3">
      <c r="A489" t="s">
        <v>128</v>
      </c>
      <c r="B489" t="s">
        <v>129</v>
      </c>
      <c r="C489" t="s">
        <v>12</v>
      </c>
      <c r="D489">
        <v>452</v>
      </c>
      <c r="E489">
        <v>33.81</v>
      </c>
      <c r="F489" s="1">
        <v>45650</v>
      </c>
      <c r="G489" s="2">
        <v>4733.4000000000015</v>
      </c>
      <c r="H489">
        <f>MONTH(product_performance_data[[#This Row],[Date_Sold]])</f>
        <v>12</v>
      </c>
      <c r="I489">
        <f>YEAR(product_performance_data[[#This Row],[Date_Sold]])</f>
        <v>2024</v>
      </c>
      <c r="J489" t="str">
        <f>TEXT(product_performance_data[[#This Row],[Date_Sold]],"ddd")</f>
        <v>Tue</v>
      </c>
    </row>
    <row r="490" spans="1:10" x14ac:dyDescent="0.3">
      <c r="A490" t="s">
        <v>40</v>
      </c>
      <c r="B490" t="s">
        <v>41</v>
      </c>
      <c r="C490" t="s">
        <v>12</v>
      </c>
      <c r="D490">
        <v>97</v>
      </c>
      <c r="E490" s="2">
        <v>45.39</v>
      </c>
      <c r="F490" s="1">
        <v>45840</v>
      </c>
      <c r="G490" s="2">
        <v>4402.83</v>
      </c>
      <c r="H490">
        <f>MONTH(product_performance_data[[#This Row],[Date_Sold]])</f>
        <v>7</v>
      </c>
      <c r="I490">
        <f>YEAR(product_performance_data[[#This Row],[Date_Sold]])</f>
        <v>2025</v>
      </c>
      <c r="J490" t="str">
        <f>TEXT(product_performance_data[[#This Row],[Date_Sold]],"ddd")</f>
        <v>Wed</v>
      </c>
    </row>
    <row r="491" spans="1:10" x14ac:dyDescent="0.3">
      <c r="A491" t="s">
        <v>727</v>
      </c>
      <c r="B491" t="s">
        <v>728</v>
      </c>
      <c r="C491" t="s">
        <v>9</v>
      </c>
      <c r="D491">
        <v>11</v>
      </c>
      <c r="E491">
        <v>381.18</v>
      </c>
      <c r="F491" s="1">
        <v>45017</v>
      </c>
      <c r="G491" s="2">
        <v>4192.9800000000005</v>
      </c>
      <c r="H491">
        <f>MONTH(product_performance_data[[#This Row],[Date_Sold]])</f>
        <v>4</v>
      </c>
      <c r="I491">
        <f>YEAR(product_performance_data[[#This Row],[Date_Sold]])</f>
        <v>2023</v>
      </c>
      <c r="J491" t="str">
        <f>TEXT(product_performance_data[[#This Row],[Date_Sold]],"ddd")</f>
        <v>Sat</v>
      </c>
    </row>
    <row r="492" spans="1:10" x14ac:dyDescent="0.3">
      <c r="A492" t="s">
        <v>713</v>
      </c>
      <c r="B492" t="s">
        <v>714</v>
      </c>
      <c r="C492" t="s">
        <v>23</v>
      </c>
      <c r="D492">
        <v>620</v>
      </c>
      <c r="E492">
        <v>6.28</v>
      </c>
      <c r="F492" s="1">
        <v>45327</v>
      </c>
      <c r="G492" s="2">
        <v>3893.6000000000004</v>
      </c>
      <c r="H492">
        <f>MONTH(product_performance_data[[#This Row],[Date_Sold]])</f>
        <v>2</v>
      </c>
      <c r="I492">
        <f>YEAR(product_performance_data[[#This Row],[Date_Sold]])</f>
        <v>2024</v>
      </c>
      <c r="J492" t="str">
        <f>TEXT(product_performance_data[[#This Row],[Date_Sold]],"ddd")</f>
        <v>Mon</v>
      </c>
    </row>
    <row r="493" spans="1:10" x14ac:dyDescent="0.3">
      <c r="A493" t="s">
        <v>643</v>
      </c>
      <c r="B493" t="s">
        <v>644</v>
      </c>
      <c r="C493" t="s">
        <v>30</v>
      </c>
      <c r="D493">
        <v>133</v>
      </c>
      <c r="E493">
        <v>27.7</v>
      </c>
      <c r="F493" s="1">
        <v>45184</v>
      </c>
      <c r="G493" s="2">
        <v>3684.1</v>
      </c>
      <c r="H493">
        <f>MONTH(product_performance_data[[#This Row],[Date_Sold]])</f>
        <v>9</v>
      </c>
      <c r="I493">
        <f>YEAR(product_performance_data[[#This Row],[Date_Sold]])</f>
        <v>2023</v>
      </c>
      <c r="J493" t="str">
        <f>TEXT(product_performance_data[[#This Row],[Date_Sold]],"ddd")</f>
        <v>Fri</v>
      </c>
    </row>
    <row r="494" spans="1:10" x14ac:dyDescent="0.3">
      <c r="A494" t="s">
        <v>590</v>
      </c>
      <c r="B494" t="s">
        <v>591</v>
      </c>
      <c r="C494" t="s">
        <v>30</v>
      </c>
      <c r="D494">
        <v>62</v>
      </c>
      <c r="E494">
        <v>48.76</v>
      </c>
      <c r="F494" s="1">
        <v>45265</v>
      </c>
      <c r="G494" s="2">
        <v>3023.12</v>
      </c>
      <c r="H494">
        <f>MONTH(product_performance_data[[#This Row],[Date_Sold]])</f>
        <v>12</v>
      </c>
      <c r="I494">
        <f>YEAR(product_performance_data[[#This Row],[Date_Sold]])</f>
        <v>2023</v>
      </c>
      <c r="J494" t="str">
        <f>TEXT(product_performance_data[[#This Row],[Date_Sold]],"ddd")</f>
        <v>Tue</v>
      </c>
    </row>
    <row r="495" spans="1:10" x14ac:dyDescent="0.3">
      <c r="A495" t="s">
        <v>42</v>
      </c>
      <c r="B495" t="s">
        <v>43</v>
      </c>
      <c r="C495" t="s">
        <v>12</v>
      </c>
      <c r="D495">
        <v>382</v>
      </c>
      <c r="E495" s="2">
        <v>7.57</v>
      </c>
      <c r="F495" s="1">
        <v>45858</v>
      </c>
      <c r="G495" s="2">
        <v>2891.7400000000002</v>
      </c>
      <c r="H495">
        <f>MONTH(product_performance_data[[#This Row],[Date_Sold]])</f>
        <v>7</v>
      </c>
      <c r="I495">
        <f>YEAR(product_performance_data[[#This Row],[Date_Sold]])</f>
        <v>2025</v>
      </c>
      <c r="J495" t="str">
        <f>TEXT(product_performance_data[[#This Row],[Date_Sold]],"ddd")</f>
        <v>Sun</v>
      </c>
    </row>
    <row r="496" spans="1:10" x14ac:dyDescent="0.3">
      <c r="A496" t="s">
        <v>537</v>
      </c>
      <c r="B496" t="s">
        <v>538</v>
      </c>
      <c r="C496" t="s">
        <v>23</v>
      </c>
      <c r="D496">
        <v>122</v>
      </c>
      <c r="E496">
        <v>23.23</v>
      </c>
      <c r="F496" s="1">
        <v>45848</v>
      </c>
      <c r="G496" s="2">
        <v>2834.06</v>
      </c>
      <c r="H496">
        <f>MONTH(product_performance_data[[#This Row],[Date_Sold]])</f>
        <v>7</v>
      </c>
      <c r="I496">
        <f>YEAR(product_performance_data[[#This Row],[Date_Sold]])</f>
        <v>2025</v>
      </c>
      <c r="J496" t="str">
        <f>TEXT(product_performance_data[[#This Row],[Date_Sold]],"ddd")</f>
        <v>Thu</v>
      </c>
    </row>
    <row r="497" spans="1:10" x14ac:dyDescent="0.3">
      <c r="A497" t="s">
        <v>912</v>
      </c>
      <c r="B497" t="s">
        <v>913</v>
      </c>
      <c r="C497" t="s">
        <v>37</v>
      </c>
      <c r="D497">
        <v>26</v>
      </c>
      <c r="E497">
        <v>106.48</v>
      </c>
      <c r="F497" s="1">
        <v>45223</v>
      </c>
      <c r="G497" s="2">
        <v>2768.48</v>
      </c>
      <c r="H497">
        <f>MONTH(product_performance_data[[#This Row],[Date_Sold]])</f>
        <v>10</v>
      </c>
      <c r="I497">
        <f>YEAR(product_performance_data[[#This Row],[Date_Sold]])</f>
        <v>2023</v>
      </c>
      <c r="J497" t="str">
        <f>TEXT(product_performance_data[[#This Row],[Date_Sold]],"ddd")</f>
        <v>Tue</v>
      </c>
    </row>
    <row r="498" spans="1:10" x14ac:dyDescent="0.3">
      <c r="A498" t="s">
        <v>184</v>
      </c>
      <c r="B498" t="s">
        <v>185</v>
      </c>
      <c r="C498" t="s">
        <v>63</v>
      </c>
      <c r="D498">
        <v>90</v>
      </c>
      <c r="E498">
        <v>28.79</v>
      </c>
      <c r="F498" s="1">
        <v>45858</v>
      </c>
      <c r="G498" s="2">
        <v>2591.1</v>
      </c>
      <c r="H498">
        <f>MONTH(product_performance_data[[#This Row],[Date_Sold]])</f>
        <v>7</v>
      </c>
      <c r="I498">
        <f>YEAR(product_performance_data[[#This Row],[Date_Sold]])</f>
        <v>2025</v>
      </c>
      <c r="J498" t="str">
        <f>TEXT(product_performance_data[[#This Row],[Date_Sold]],"ddd")</f>
        <v>Sun</v>
      </c>
    </row>
    <row r="499" spans="1:10" x14ac:dyDescent="0.3">
      <c r="A499" t="s">
        <v>435</v>
      </c>
      <c r="B499" t="s">
        <v>436</v>
      </c>
      <c r="C499" t="s">
        <v>63</v>
      </c>
      <c r="D499">
        <v>95</v>
      </c>
      <c r="E499" s="12">
        <v>252.42</v>
      </c>
      <c r="F499" s="1">
        <v>45541</v>
      </c>
      <c r="G499" s="2">
        <v>2515.6</v>
      </c>
      <c r="H499">
        <f>MONTH(product_performance_data[[#This Row],[Date_Sold]])</f>
        <v>9</v>
      </c>
      <c r="I499">
        <f>YEAR(product_performance_data[[#This Row],[Date_Sold]])</f>
        <v>2024</v>
      </c>
      <c r="J499" t="str">
        <f>TEXT(product_performance_data[[#This Row],[Date_Sold]],"ddd")</f>
        <v>Fri</v>
      </c>
    </row>
    <row r="500" spans="1:10" x14ac:dyDescent="0.3">
      <c r="A500" t="s">
        <v>24</v>
      </c>
      <c r="B500" t="s">
        <v>25</v>
      </c>
      <c r="C500" t="s">
        <v>23</v>
      </c>
      <c r="D500">
        <v>30</v>
      </c>
      <c r="E500" s="2">
        <v>72.63</v>
      </c>
      <c r="F500" s="1">
        <v>45899</v>
      </c>
      <c r="G500" s="2">
        <v>2178.8999999999996</v>
      </c>
      <c r="H500">
        <f>MONTH(product_performance_data[[#This Row],[Date_Sold]])</f>
        <v>8</v>
      </c>
      <c r="I500">
        <f>YEAR(product_performance_data[[#This Row],[Date_Sold]])</f>
        <v>2025</v>
      </c>
      <c r="J500" t="str">
        <f>TEXT(product_performance_data[[#This Row],[Date_Sold]],"ddd")</f>
        <v>Sat</v>
      </c>
    </row>
    <row r="501" spans="1:10" x14ac:dyDescent="0.3">
      <c r="A501" t="s">
        <v>136</v>
      </c>
      <c r="B501" t="s">
        <v>137</v>
      </c>
      <c r="C501" t="s">
        <v>63</v>
      </c>
      <c r="D501">
        <v>30</v>
      </c>
      <c r="E501">
        <v>51.47</v>
      </c>
      <c r="F501" s="1">
        <v>45097</v>
      </c>
      <c r="G501" s="2">
        <v>1544.1</v>
      </c>
      <c r="H501">
        <f>MONTH(product_performance_data[[#This Row],[Date_Sold]])</f>
        <v>6</v>
      </c>
      <c r="I501">
        <f>YEAR(product_performance_data[[#This Row],[Date_Sold]])</f>
        <v>2023</v>
      </c>
      <c r="J501" t="str">
        <f>TEXT(product_performance_data[[#This Row],[Date_Sold]],"ddd")</f>
        <v>Tue</v>
      </c>
    </row>
  </sheetData>
  <conditionalFormatting sqref="A1:J501">
    <cfRule type="duplicateValues" dxfId="0" priority="6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1CCBB-9E7D-4C29-B4F6-DC368AF5A8EC}">
  <dimension ref="A1:AA68"/>
  <sheetViews>
    <sheetView workbookViewId="0">
      <selection activeCell="K21" sqref="K21"/>
    </sheetView>
  </sheetViews>
  <sheetFormatPr defaultRowHeight="14.4" x14ac:dyDescent="0.3"/>
  <cols>
    <col min="1" max="1" width="8.88671875" customWidth="1"/>
    <col min="2" max="2" width="13.88671875" customWidth="1"/>
    <col min="3" max="3" width="11.77734375" customWidth="1"/>
    <col min="4" max="4" width="16.44140625" customWidth="1"/>
    <col min="5" max="5" width="8.88671875" customWidth="1"/>
    <col min="6" max="6" width="14.21875" customWidth="1"/>
    <col min="7" max="8" width="16.33203125" customWidth="1"/>
    <col min="9" max="9" width="16.6640625" customWidth="1"/>
    <col min="10" max="10" width="17.44140625" customWidth="1"/>
    <col min="11" max="11" width="17.88671875" customWidth="1"/>
  </cols>
  <sheetData>
    <row r="1" spans="1:27" x14ac:dyDescent="0.3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</row>
    <row r="2" spans="1:27" x14ac:dyDescent="0.3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</row>
    <row r="3" spans="1:27" ht="15.6" x14ac:dyDescent="0.3">
      <c r="A3" s="33" t="s">
        <v>1026</v>
      </c>
      <c r="B3" s="34"/>
      <c r="C3" s="35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</row>
    <row r="4" spans="1:27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</row>
    <row r="5" spans="1:27" ht="15.6" x14ac:dyDescent="0.3">
      <c r="A5" s="33" t="s">
        <v>1027</v>
      </c>
      <c r="B5" s="34"/>
      <c r="C5" s="35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</row>
    <row r="6" spans="1:27" x14ac:dyDescent="0.3">
      <c r="A6" s="18"/>
      <c r="B6" s="18"/>
      <c r="C6" s="18"/>
      <c r="D6" s="18"/>
      <c r="E6" s="18"/>
      <c r="F6" s="25"/>
      <c r="G6" s="18"/>
      <c r="H6" s="18"/>
      <c r="I6" s="41" t="s">
        <v>1020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1:27" x14ac:dyDescent="0.3">
      <c r="A7" s="18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</row>
    <row r="8" spans="1:27" x14ac:dyDescent="0.3">
      <c r="A8" s="18"/>
      <c r="B8" s="18"/>
      <c r="C8" s="18"/>
      <c r="D8" s="18"/>
      <c r="E8" s="18"/>
      <c r="F8" s="18"/>
      <c r="G8" s="40" t="s">
        <v>1012</v>
      </c>
      <c r="H8" s="40" t="s">
        <v>992</v>
      </c>
      <c r="I8" s="18"/>
      <c r="J8" s="40" t="s">
        <v>1012</v>
      </c>
      <c r="K8" s="40" t="s">
        <v>993</v>
      </c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</row>
    <row r="9" spans="1:27" x14ac:dyDescent="0.3">
      <c r="A9" s="26" t="s">
        <v>1002</v>
      </c>
      <c r="B9" s="27"/>
      <c r="C9" s="45"/>
      <c r="D9" s="45"/>
      <c r="E9" s="45"/>
      <c r="F9" s="45"/>
      <c r="G9" s="46" t="s">
        <v>1014</v>
      </c>
      <c r="H9" s="47">
        <v>8837493.8299999982</v>
      </c>
      <c r="I9" s="45"/>
      <c r="J9" s="46" t="s">
        <v>1014</v>
      </c>
      <c r="K9" s="48">
        <v>33431</v>
      </c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</row>
    <row r="10" spans="1:27" x14ac:dyDescent="0.3">
      <c r="A10" s="15"/>
      <c r="B10" s="15" t="s">
        <v>2</v>
      </c>
      <c r="C10" s="15" t="s">
        <v>995</v>
      </c>
      <c r="D10" s="15" t="s">
        <v>6</v>
      </c>
      <c r="E10" s="45"/>
      <c r="F10" s="45"/>
      <c r="G10" s="46" t="s">
        <v>1018</v>
      </c>
      <c r="H10" s="47">
        <v>9393732.7200000007</v>
      </c>
      <c r="I10" s="45"/>
      <c r="J10" s="46" t="s">
        <v>1018</v>
      </c>
      <c r="K10" s="48">
        <v>38608</v>
      </c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</row>
    <row r="11" spans="1:27" x14ac:dyDescent="0.3">
      <c r="A11" s="15" t="s">
        <v>994</v>
      </c>
      <c r="B11" s="15" t="s">
        <v>37</v>
      </c>
      <c r="C11" s="49">
        <v>44252</v>
      </c>
      <c r="D11" s="50">
        <v>11302138.41</v>
      </c>
      <c r="E11" s="45"/>
      <c r="F11" s="45"/>
      <c r="G11" s="46" t="s">
        <v>1019</v>
      </c>
      <c r="H11" s="47">
        <v>11621826.410000002</v>
      </c>
      <c r="I11" s="45"/>
      <c r="J11" s="46" t="s">
        <v>1019</v>
      </c>
      <c r="K11" s="48">
        <v>39965</v>
      </c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</row>
    <row r="12" spans="1:27" x14ac:dyDescent="0.3">
      <c r="A12" s="15" t="s">
        <v>996</v>
      </c>
      <c r="B12" s="15" t="s">
        <v>997</v>
      </c>
      <c r="C12" s="15">
        <v>2984</v>
      </c>
      <c r="D12" s="16">
        <v>571640.12</v>
      </c>
      <c r="E12" s="45"/>
      <c r="F12" s="45"/>
      <c r="G12" s="46" t="s">
        <v>1017</v>
      </c>
      <c r="H12" s="47">
        <v>9690095.3099999987</v>
      </c>
      <c r="I12" s="45"/>
      <c r="J12" s="46" t="s">
        <v>1017</v>
      </c>
      <c r="K12" s="48">
        <v>36996</v>
      </c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</row>
    <row r="13" spans="1:27" x14ac:dyDescent="0.3">
      <c r="A13" s="45"/>
      <c r="B13" s="45"/>
      <c r="C13" s="45"/>
      <c r="D13" s="45"/>
      <c r="E13" s="45"/>
      <c r="F13" s="45"/>
      <c r="G13" s="46" t="s">
        <v>1013</v>
      </c>
      <c r="H13" s="47">
        <v>7202202.2699999996</v>
      </c>
      <c r="I13" s="45"/>
      <c r="J13" s="46" t="s">
        <v>1013</v>
      </c>
      <c r="K13" s="48">
        <v>31265</v>
      </c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</row>
    <row r="14" spans="1:27" x14ac:dyDescent="0.3">
      <c r="A14" s="45"/>
      <c r="B14" s="45"/>
      <c r="C14" s="45"/>
      <c r="D14" s="45"/>
      <c r="E14" s="45"/>
      <c r="F14" s="45"/>
      <c r="G14" s="46" t="s">
        <v>1015</v>
      </c>
      <c r="H14" s="47">
        <v>7129840.2599999998</v>
      </c>
      <c r="I14" s="45"/>
      <c r="J14" s="46" t="s">
        <v>1015</v>
      </c>
      <c r="K14" s="48">
        <v>33220</v>
      </c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</row>
    <row r="15" spans="1:27" x14ac:dyDescent="0.3">
      <c r="A15" s="26" t="s">
        <v>1003</v>
      </c>
      <c r="B15" s="27"/>
      <c r="C15" s="45"/>
      <c r="D15" s="45"/>
      <c r="E15" s="45"/>
      <c r="F15" s="45"/>
      <c r="G15" s="46" t="s">
        <v>1016</v>
      </c>
      <c r="H15" s="47">
        <v>8911675.9100000039</v>
      </c>
      <c r="I15" s="45"/>
      <c r="J15" s="46" t="s">
        <v>1016</v>
      </c>
      <c r="K15" s="48">
        <v>38069</v>
      </c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</row>
    <row r="16" spans="1:27" x14ac:dyDescent="0.3">
      <c r="A16" s="17"/>
      <c r="B16" s="17" t="s">
        <v>989</v>
      </c>
      <c r="C16" s="17" t="s">
        <v>995</v>
      </c>
      <c r="D16" s="17" t="s">
        <v>6</v>
      </c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</row>
    <row r="17" spans="1:27" x14ac:dyDescent="0.3">
      <c r="A17" s="17" t="s">
        <v>994</v>
      </c>
      <c r="B17" s="17">
        <v>2024</v>
      </c>
      <c r="C17" s="51">
        <v>90910</v>
      </c>
      <c r="D17" s="52">
        <v>22694303.589999992</v>
      </c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</row>
    <row r="18" spans="1:27" x14ac:dyDescent="0.3">
      <c r="A18" s="17" t="s">
        <v>996</v>
      </c>
      <c r="B18" s="17">
        <v>2025</v>
      </c>
      <c r="C18" s="51">
        <v>79881</v>
      </c>
      <c r="D18" s="52">
        <v>19762402.84</v>
      </c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</row>
    <row r="19" spans="1:27" x14ac:dyDescent="0.3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</row>
    <row r="20" spans="1:27" x14ac:dyDescent="0.3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</row>
    <row r="21" spans="1:27" x14ac:dyDescent="0.3">
      <c r="A21" s="26" t="s">
        <v>1010</v>
      </c>
      <c r="B21" s="27"/>
      <c r="C21" s="18"/>
      <c r="D21" s="18"/>
      <c r="E21" s="18"/>
      <c r="F21" s="18"/>
      <c r="G21" s="41" t="s">
        <v>1021</v>
      </c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</row>
    <row r="22" spans="1:27" x14ac:dyDescent="0.3">
      <c r="A22" s="53"/>
      <c r="B22" s="53" t="s">
        <v>988</v>
      </c>
      <c r="C22" s="53" t="s">
        <v>995</v>
      </c>
      <c r="D22" s="53" t="s">
        <v>6</v>
      </c>
      <c r="E22" s="18"/>
      <c r="F22" s="18"/>
      <c r="G22" s="39"/>
      <c r="H22" s="43" t="s">
        <v>1011</v>
      </c>
      <c r="I22" s="42" t="s">
        <v>995</v>
      </c>
      <c r="J22" s="42" t="s">
        <v>6</v>
      </c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</row>
    <row r="23" spans="1:27" x14ac:dyDescent="0.3">
      <c r="A23" s="53" t="s">
        <v>994</v>
      </c>
      <c r="B23" s="53" t="s">
        <v>998</v>
      </c>
      <c r="C23" s="55">
        <v>26056</v>
      </c>
      <c r="D23" s="53" t="s">
        <v>999</v>
      </c>
      <c r="E23" s="18"/>
      <c r="F23" s="18"/>
      <c r="G23" s="58" t="s">
        <v>994</v>
      </c>
      <c r="H23" s="59" t="s">
        <v>1019</v>
      </c>
      <c r="I23" s="58">
        <v>39965</v>
      </c>
      <c r="J23" s="60">
        <v>11621826.410000002</v>
      </c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</row>
    <row r="24" spans="1:27" x14ac:dyDescent="0.3">
      <c r="A24" s="53"/>
      <c r="B24" s="53" t="s">
        <v>1000</v>
      </c>
      <c r="C24" s="53" t="s">
        <v>999</v>
      </c>
      <c r="D24" s="56">
        <v>7147134.2800000021</v>
      </c>
      <c r="E24" s="18"/>
      <c r="F24" s="18"/>
      <c r="G24" s="58" t="s">
        <v>996</v>
      </c>
      <c r="H24" s="59" t="s">
        <v>1015</v>
      </c>
      <c r="I24" s="58" t="s">
        <v>1022</v>
      </c>
      <c r="J24" s="61">
        <v>7129840.2599999998</v>
      </c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</row>
    <row r="25" spans="1:27" x14ac:dyDescent="0.3">
      <c r="A25" s="53" t="s">
        <v>996</v>
      </c>
      <c r="B25" s="53" t="s">
        <v>1001</v>
      </c>
      <c r="C25" s="57">
        <v>16158</v>
      </c>
      <c r="D25" s="54">
        <v>3950463.8600000003</v>
      </c>
      <c r="E25" s="18"/>
      <c r="F25" s="18"/>
      <c r="G25" s="58"/>
      <c r="H25" s="59" t="s">
        <v>1013</v>
      </c>
      <c r="I25" s="62">
        <v>31265</v>
      </c>
      <c r="J25" s="58" t="s">
        <v>1022</v>
      </c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spans="1:27" x14ac:dyDescent="0.3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</row>
    <row r="27" spans="1:27" x14ac:dyDescent="0.3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</row>
    <row r="28" spans="1:27" x14ac:dyDescent="0.3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</row>
    <row r="29" spans="1:27" x14ac:dyDescent="0.3">
      <c r="A29" s="28" t="s">
        <v>1004</v>
      </c>
      <c r="B29" s="29"/>
      <c r="C29" s="30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</row>
    <row r="30" spans="1:27" x14ac:dyDescent="0.3">
      <c r="A30" s="19" t="s">
        <v>0</v>
      </c>
      <c r="B30" s="19" t="s">
        <v>1</v>
      </c>
      <c r="C30" s="19" t="s">
        <v>2</v>
      </c>
      <c r="D30" s="19" t="s">
        <v>3</v>
      </c>
      <c r="E30" s="20" t="s">
        <v>4</v>
      </c>
      <c r="F30" s="21" t="s">
        <v>5</v>
      </c>
      <c r="G30" s="20" t="s">
        <v>6</v>
      </c>
      <c r="H30" s="19" t="s">
        <v>988</v>
      </c>
      <c r="I30" s="19" t="s">
        <v>989</v>
      </c>
      <c r="J30" s="36" t="s">
        <v>1012</v>
      </c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</row>
    <row r="31" spans="1:27" x14ac:dyDescent="0.3">
      <c r="A31" s="22" t="s">
        <v>168</v>
      </c>
      <c r="B31" s="22" t="s">
        <v>169</v>
      </c>
      <c r="C31" s="22" t="s">
        <v>30</v>
      </c>
      <c r="D31" s="22">
        <v>965</v>
      </c>
      <c r="E31" s="22">
        <v>489.86</v>
      </c>
      <c r="F31" s="24">
        <v>45952</v>
      </c>
      <c r="G31" s="23">
        <v>472714.9</v>
      </c>
      <c r="H31" s="22">
        <f>MONTH(product_performance_data[[#This Row],[Date_Sold]])</f>
        <v>11</v>
      </c>
      <c r="I31" s="22">
        <f>YEAR(product_performance_data[[#This Row],[Date_Sold]])</f>
        <v>2024</v>
      </c>
      <c r="J31" s="37" t="str">
        <f>TEXT(product_performance_data[[#This Row],[Date_Sold]],"ddd")</f>
        <v>Fri</v>
      </c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spans="1:27" x14ac:dyDescent="0.3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</row>
    <row r="33" spans="1:27" x14ac:dyDescent="0.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</row>
    <row r="34" spans="1:27" x14ac:dyDescent="0.3">
      <c r="A34" s="28" t="s">
        <v>1005</v>
      </c>
      <c r="B34" s="29"/>
      <c r="C34" s="30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</row>
    <row r="35" spans="1:27" x14ac:dyDescent="0.3">
      <c r="A35" s="19" t="s">
        <v>0</v>
      </c>
      <c r="B35" s="19" t="s">
        <v>1</v>
      </c>
      <c r="C35" s="19" t="s">
        <v>2</v>
      </c>
      <c r="D35" s="19" t="s">
        <v>3</v>
      </c>
      <c r="E35" s="20" t="s">
        <v>4</v>
      </c>
      <c r="F35" s="21" t="s">
        <v>5</v>
      </c>
      <c r="G35" s="20" t="s">
        <v>6</v>
      </c>
      <c r="H35" s="19" t="s">
        <v>988</v>
      </c>
      <c r="I35" s="19" t="s">
        <v>989</v>
      </c>
      <c r="J35" s="19" t="s">
        <v>1012</v>
      </c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</row>
    <row r="36" spans="1:27" x14ac:dyDescent="0.3">
      <c r="A36" s="22" t="s">
        <v>136</v>
      </c>
      <c r="B36" s="22" t="s">
        <v>137</v>
      </c>
      <c r="C36" s="22" t="s">
        <v>63</v>
      </c>
      <c r="D36" s="22">
        <v>30</v>
      </c>
      <c r="E36" s="22">
        <v>51.47</v>
      </c>
      <c r="F36" s="24">
        <v>45097</v>
      </c>
      <c r="G36" s="23">
        <v>1544.1</v>
      </c>
      <c r="H36" s="22">
        <f>MONTH(product_performance_data[[#This Row],[Date_Sold]])</f>
        <v>10</v>
      </c>
      <c r="I36" s="22">
        <f>YEAR(product_performance_data[[#This Row],[Date_Sold]])</f>
        <v>2025</v>
      </c>
      <c r="J36" s="38" t="str">
        <f>TEXT(product_performance_data[[#This Row],[Date_Sold]],"ddd")</f>
        <v>Sat</v>
      </c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</row>
    <row r="37" spans="1:27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</row>
    <row r="38" spans="1:27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</row>
    <row r="39" spans="1:27" x14ac:dyDescent="0.3">
      <c r="A39" s="28" t="s">
        <v>1007</v>
      </c>
      <c r="B39" s="31"/>
      <c r="C39" s="32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</row>
    <row r="40" spans="1:27" x14ac:dyDescent="0.3">
      <c r="A40" s="19" t="s">
        <v>0</v>
      </c>
      <c r="B40" s="19" t="s">
        <v>1</v>
      </c>
      <c r="C40" s="19" t="s">
        <v>2</v>
      </c>
      <c r="D40" s="19" t="s">
        <v>3</v>
      </c>
      <c r="E40" s="20" t="s">
        <v>4</v>
      </c>
      <c r="F40" s="21" t="s">
        <v>5</v>
      </c>
      <c r="G40" s="20" t="s">
        <v>6</v>
      </c>
      <c r="H40" s="19" t="s">
        <v>988</v>
      </c>
      <c r="I40" s="19" t="s">
        <v>989</v>
      </c>
      <c r="J40" s="19" t="s">
        <v>1012</v>
      </c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</row>
    <row r="41" spans="1:27" x14ac:dyDescent="0.3">
      <c r="A41" s="22" t="s">
        <v>727</v>
      </c>
      <c r="B41" s="22" t="s">
        <v>728</v>
      </c>
      <c r="C41" s="22" t="s">
        <v>9</v>
      </c>
      <c r="D41" s="22">
        <v>11</v>
      </c>
      <c r="E41" s="22">
        <v>381.18</v>
      </c>
      <c r="F41" s="24">
        <v>45017</v>
      </c>
      <c r="G41" s="23">
        <v>4192.9800000000005</v>
      </c>
      <c r="H41" s="22">
        <f>MONTH(product_performance_data[[#This Row],[Date_Sold]])</f>
        <v>11</v>
      </c>
      <c r="I41" s="22">
        <f>YEAR(product_performance_data[[#This Row],[Date_Sold]])</f>
        <v>2023</v>
      </c>
      <c r="J41" s="22" t="str">
        <f>TEXT(product_performance_data[[#This Row],[Date_Sold]],"ddd")</f>
        <v>Wed</v>
      </c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</row>
    <row r="42" spans="1:27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</row>
    <row r="43" spans="1:27" x14ac:dyDescent="0.3">
      <c r="A43" s="28" t="s">
        <v>1006</v>
      </c>
      <c r="B43" s="31"/>
      <c r="C43" s="32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</row>
    <row r="44" spans="1:27" x14ac:dyDescent="0.3">
      <c r="A44" s="19" t="s">
        <v>0</v>
      </c>
      <c r="B44" s="19" t="s">
        <v>1</v>
      </c>
      <c r="C44" s="19" t="s">
        <v>2</v>
      </c>
      <c r="D44" s="19" t="s">
        <v>3</v>
      </c>
      <c r="E44" s="20" t="s">
        <v>4</v>
      </c>
      <c r="F44" s="21" t="s">
        <v>5</v>
      </c>
      <c r="G44" s="20" t="s">
        <v>6</v>
      </c>
      <c r="H44" s="19" t="s">
        <v>988</v>
      </c>
      <c r="I44" s="19" t="s">
        <v>989</v>
      </c>
      <c r="J44" s="19" t="s">
        <v>1012</v>
      </c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</row>
    <row r="45" spans="1:27" x14ac:dyDescent="0.3">
      <c r="A45" s="22" t="s">
        <v>709</v>
      </c>
      <c r="B45" s="22" t="s">
        <v>710</v>
      </c>
      <c r="C45" s="22" t="s">
        <v>37</v>
      </c>
      <c r="D45" s="22">
        <v>999</v>
      </c>
      <c r="E45" s="22">
        <v>82.7</v>
      </c>
      <c r="F45" s="24">
        <v>45206</v>
      </c>
      <c r="G45" s="23">
        <v>82617.3</v>
      </c>
      <c r="H45" s="22">
        <f>MONTH(product_performance_data[[#This Row],[Date_Sold]])</f>
        <v>2</v>
      </c>
      <c r="I45" s="22">
        <f>YEAR(product_performance_data[[#This Row],[Date_Sold]])</f>
        <v>2023</v>
      </c>
      <c r="J45" s="22" t="str">
        <f>TEXT(product_performance_data[[#This Row],[Date_Sold]],"ddd")</f>
        <v>Mon</v>
      </c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</row>
    <row r="46" spans="1:27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</row>
    <row r="47" spans="1:27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</row>
    <row r="48" spans="1:27" x14ac:dyDescent="0.3">
      <c r="A48" s="28" t="s">
        <v>1008</v>
      </c>
      <c r="B48" s="29"/>
      <c r="C48" s="30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</row>
    <row r="49" spans="1:27" x14ac:dyDescent="0.3">
      <c r="A49" s="19" t="s">
        <v>0</v>
      </c>
      <c r="B49" s="19" t="s">
        <v>1</v>
      </c>
      <c r="C49" s="19" t="s">
        <v>2</v>
      </c>
      <c r="D49" s="19" t="s">
        <v>3</v>
      </c>
      <c r="E49" s="20" t="s">
        <v>4</v>
      </c>
      <c r="F49" s="21" t="s">
        <v>5</v>
      </c>
      <c r="G49" s="20" t="s">
        <v>6</v>
      </c>
      <c r="H49" s="19" t="s">
        <v>988</v>
      </c>
      <c r="I49" s="19" t="s">
        <v>989</v>
      </c>
      <c r="J49" s="19" t="s">
        <v>1012</v>
      </c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</row>
    <row r="50" spans="1:27" x14ac:dyDescent="0.3">
      <c r="A50" s="22" t="s">
        <v>826</v>
      </c>
      <c r="B50" s="22" t="s">
        <v>827</v>
      </c>
      <c r="C50" s="22" t="s">
        <v>63</v>
      </c>
      <c r="D50" s="22">
        <v>286</v>
      </c>
      <c r="E50" s="22">
        <v>498.64</v>
      </c>
      <c r="F50" s="24">
        <v>45617</v>
      </c>
      <c r="G50" s="23">
        <v>142611.04</v>
      </c>
      <c r="H50" s="22">
        <f>MONTH(product_performance_data[[#This Row],[Date_Sold]])</f>
        <v>4</v>
      </c>
      <c r="I50" s="22">
        <f>YEAR(product_performance_data[[#This Row],[Date_Sold]])</f>
        <v>2023</v>
      </c>
      <c r="J50" s="22" t="str">
        <f>TEXT(product_performance_data[[#This Row],[Date_Sold]],"ddd")</f>
        <v>Mon</v>
      </c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</row>
    <row r="51" spans="1:27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</row>
    <row r="52" spans="1:27" x14ac:dyDescent="0.3">
      <c r="A52" s="28" t="s">
        <v>1009</v>
      </c>
      <c r="B52" s="29"/>
      <c r="C52" s="30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</row>
    <row r="53" spans="1:27" x14ac:dyDescent="0.3">
      <c r="A53" s="19" t="s">
        <v>0</v>
      </c>
      <c r="B53" s="19" t="s">
        <v>1</v>
      </c>
      <c r="C53" s="19" t="s">
        <v>2</v>
      </c>
      <c r="D53" s="19" t="s">
        <v>3</v>
      </c>
      <c r="E53" s="20" t="s">
        <v>4</v>
      </c>
      <c r="F53" s="21" t="s">
        <v>5</v>
      </c>
      <c r="G53" s="20" t="s">
        <v>6</v>
      </c>
      <c r="H53" s="19" t="s">
        <v>988</v>
      </c>
      <c r="I53" s="19" t="s">
        <v>989</v>
      </c>
      <c r="J53" s="19" t="s">
        <v>1012</v>
      </c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</row>
    <row r="54" spans="1:27" x14ac:dyDescent="0.3">
      <c r="A54" s="22" t="s">
        <v>713</v>
      </c>
      <c r="B54" s="22" t="s">
        <v>714</v>
      </c>
      <c r="C54" s="22" t="s">
        <v>23</v>
      </c>
      <c r="D54" s="22">
        <v>620</v>
      </c>
      <c r="E54" s="22">
        <v>6.28</v>
      </c>
      <c r="F54" s="24">
        <v>45327</v>
      </c>
      <c r="G54" s="23">
        <v>3893.6000000000004</v>
      </c>
      <c r="H54" s="22">
        <f>MONTH(product_performance_data[[#This Row],[Date_Sold]])</f>
        <v>3</v>
      </c>
      <c r="I54" s="22">
        <f>YEAR(product_performance_data[[#This Row],[Date_Sold]])</f>
        <v>2023</v>
      </c>
      <c r="J54" s="22" t="str">
        <f>TEXT(product_performance_data[[#This Row],[Date_Sold]],"ddd")</f>
        <v>Fri</v>
      </c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</row>
    <row r="55" spans="1:27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</row>
    <row r="56" spans="1:27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</row>
    <row r="57" spans="1:27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</row>
    <row r="58" spans="1:27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</row>
    <row r="59" spans="1:27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</row>
    <row r="60" spans="1:27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</row>
    <row r="61" spans="1:27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</row>
    <row r="62" spans="1:27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</row>
    <row r="63" spans="1:27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</row>
    <row r="64" spans="1:27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</row>
    <row r="65" spans="1:27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</row>
    <row r="66" spans="1:27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</row>
    <row r="67" spans="1:27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</row>
    <row r="68" spans="1:27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621D4-DB40-4BD8-B92D-2716F20EE075}">
  <dimension ref="A3:J78"/>
  <sheetViews>
    <sheetView topLeftCell="E1" workbookViewId="0">
      <selection activeCell="K20" sqref="K20"/>
    </sheetView>
  </sheetViews>
  <sheetFormatPr defaultRowHeight="14.4" x14ac:dyDescent="0.3"/>
  <cols>
    <col min="1" max="1" width="14.21875" bestFit="1" customWidth="1"/>
    <col min="2" max="2" width="14.88671875" bestFit="1" customWidth="1"/>
    <col min="3" max="3" width="19.44140625" bestFit="1" customWidth="1"/>
    <col min="4" max="4" width="18.109375" bestFit="1" customWidth="1"/>
    <col min="5" max="5" width="12.5546875" bestFit="1" customWidth="1"/>
    <col min="6" max="6" width="16.5546875" bestFit="1" customWidth="1"/>
    <col min="7" max="7" width="12.5546875" bestFit="1" customWidth="1"/>
    <col min="8" max="8" width="19.77734375" bestFit="1" customWidth="1"/>
    <col min="9" max="9" width="19.44140625" bestFit="1" customWidth="1"/>
    <col min="10" max="10" width="18.109375" bestFit="1" customWidth="1"/>
  </cols>
  <sheetData>
    <row r="3" spans="1:10" x14ac:dyDescent="0.3">
      <c r="A3" s="13" t="s">
        <v>990</v>
      </c>
      <c r="B3" t="s">
        <v>992</v>
      </c>
      <c r="E3" s="13" t="s">
        <v>990</v>
      </c>
      <c r="F3" t="s">
        <v>993</v>
      </c>
      <c r="I3" s="13" t="s">
        <v>990</v>
      </c>
      <c r="J3" t="s">
        <v>992</v>
      </c>
    </row>
    <row r="4" spans="1:10" x14ac:dyDescent="0.3">
      <c r="A4" s="14">
        <v>2023</v>
      </c>
      <c r="B4" s="2">
        <v>20330160.280000001</v>
      </c>
      <c r="E4" s="14">
        <v>2023</v>
      </c>
      <c r="F4">
        <v>80763</v>
      </c>
      <c r="I4" s="14" t="s">
        <v>1014</v>
      </c>
      <c r="J4" s="2">
        <v>8837493.8299999982</v>
      </c>
    </row>
    <row r="5" spans="1:10" x14ac:dyDescent="0.3">
      <c r="A5" s="14">
        <v>2024</v>
      </c>
      <c r="B5" s="2">
        <v>22694303.589999992</v>
      </c>
      <c r="E5" s="14">
        <v>2024</v>
      </c>
      <c r="F5">
        <v>90910</v>
      </c>
      <c r="I5" s="14" t="s">
        <v>1018</v>
      </c>
      <c r="J5" s="2">
        <v>9393732.7200000007</v>
      </c>
    </row>
    <row r="6" spans="1:10" x14ac:dyDescent="0.3">
      <c r="A6" s="14">
        <v>2025</v>
      </c>
      <c r="B6" s="2">
        <v>19762402.84</v>
      </c>
      <c r="E6" s="14">
        <v>2025</v>
      </c>
      <c r="F6">
        <v>79881</v>
      </c>
      <c r="I6" s="14" t="s">
        <v>1019</v>
      </c>
      <c r="J6" s="2">
        <v>11621826.410000002</v>
      </c>
    </row>
    <row r="7" spans="1:10" x14ac:dyDescent="0.3">
      <c r="A7" s="14" t="s">
        <v>991</v>
      </c>
      <c r="B7" s="2">
        <v>62786866.709999993</v>
      </c>
      <c r="E7" s="14" t="s">
        <v>991</v>
      </c>
      <c r="F7">
        <v>251554</v>
      </c>
      <c r="I7" s="14" t="s">
        <v>1017</v>
      </c>
      <c r="J7" s="2">
        <v>9690095.3099999987</v>
      </c>
    </row>
    <row r="8" spans="1:10" x14ac:dyDescent="0.3">
      <c r="I8" s="14" t="s">
        <v>1013</v>
      </c>
      <c r="J8" s="2">
        <v>7202202.2699999996</v>
      </c>
    </row>
    <row r="9" spans="1:10" x14ac:dyDescent="0.3">
      <c r="I9" s="14" t="s">
        <v>1015</v>
      </c>
      <c r="J9" s="2">
        <v>7129840.2599999998</v>
      </c>
    </row>
    <row r="10" spans="1:10" x14ac:dyDescent="0.3">
      <c r="I10" s="14" t="s">
        <v>1016</v>
      </c>
      <c r="J10" s="2">
        <v>8911675.9100000039</v>
      </c>
    </row>
    <row r="11" spans="1:10" x14ac:dyDescent="0.3">
      <c r="A11" s="13" t="s">
        <v>990</v>
      </c>
      <c r="B11" t="s">
        <v>992</v>
      </c>
      <c r="E11" s="13" t="s">
        <v>990</v>
      </c>
      <c r="F11" t="s">
        <v>993</v>
      </c>
      <c r="I11" s="14" t="s">
        <v>991</v>
      </c>
      <c r="J11" s="2">
        <v>62786866.709999993</v>
      </c>
    </row>
    <row r="12" spans="1:10" x14ac:dyDescent="0.3">
      <c r="A12" s="14">
        <v>1</v>
      </c>
      <c r="B12" s="2">
        <v>5613884.8999999994</v>
      </c>
      <c r="E12" s="14">
        <v>1</v>
      </c>
      <c r="F12">
        <v>21006</v>
      </c>
    </row>
    <row r="13" spans="1:10" x14ac:dyDescent="0.3">
      <c r="A13" s="14">
        <v>2</v>
      </c>
      <c r="B13" s="2">
        <v>4322690.13</v>
      </c>
      <c r="E13" s="14">
        <v>2</v>
      </c>
      <c r="F13">
        <v>17614</v>
      </c>
    </row>
    <row r="14" spans="1:10" x14ac:dyDescent="0.3">
      <c r="A14" s="14">
        <v>3</v>
      </c>
      <c r="B14" s="2">
        <v>5447203.2299999995</v>
      </c>
      <c r="E14" s="14">
        <v>3</v>
      </c>
      <c r="F14">
        <v>18502</v>
      </c>
    </row>
    <row r="15" spans="1:10" x14ac:dyDescent="0.3">
      <c r="A15" s="14">
        <v>4</v>
      </c>
      <c r="B15" s="2">
        <v>6025934.4100000001</v>
      </c>
      <c r="E15" s="14">
        <v>4</v>
      </c>
      <c r="F15">
        <v>26056</v>
      </c>
      <c r="I15" s="13" t="s">
        <v>990</v>
      </c>
      <c r="J15" t="s">
        <v>993</v>
      </c>
    </row>
    <row r="16" spans="1:10" x14ac:dyDescent="0.3">
      <c r="A16" s="14">
        <v>5</v>
      </c>
      <c r="B16" s="2">
        <v>5698749.4700000007</v>
      </c>
      <c r="E16" s="14">
        <v>5</v>
      </c>
      <c r="F16">
        <v>24973</v>
      </c>
      <c r="I16" s="14" t="s">
        <v>1014</v>
      </c>
      <c r="J16">
        <v>33431</v>
      </c>
    </row>
    <row r="17" spans="1:10" x14ac:dyDescent="0.3">
      <c r="A17" s="14">
        <v>6</v>
      </c>
      <c r="B17" s="2">
        <v>4505427.3500000006</v>
      </c>
      <c r="E17" s="14">
        <v>6</v>
      </c>
      <c r="F17">
        <v>20017</v>
      </c>
      <c r="I17" s="14" t="s">
        <v>1018</v>
      </c>
      <c r="J17">
        <v>38608</v>
      </c>
    </row>
    <row r="18" spans="1:10" x14ac:dyDescent="0.3">
      <c r="A18" s="14">
        <v>7</v>
      </c>
      <c r="B18" s="2">
        <v>5564449.8300000001</v>
      </c>
      <c r="E18" s="14">
        <v>7</v>
      </c>
      <c r="F18">
        <v>22670</v>
      </c>
      <c r="I18" s="14" t="s">
        <v>1019</v>
      </c>
      <c r="J18">
        <v>39965</v>
      </c>
    </row>
    <row r="19" spans="1:10" x14ac:dyDescent="0.3">
      <c r="A19" s="14">
        <v>8</v>
      </c>
      <c r="B19" s="2">
        <v>5298534.7699999996</v>
      </c>
      <c r="E19" s="14">
        <v>8</v>
      </c>
      <c r="F19">
        <v>21620</v>
      </c>
      <c r="I19" s="14" t="s">
        <v>1017</v>
      </c>
      <c r="J19">
        <v>36996</v>
      </c>
    </row>
    <row r="20" spans="1:10" x14ac:dyDescent="0.3">
      <c r="A20" s="14">
        <v>9</v>
      </c>
      <c r="B20" s="2">
        <v>4453983.34</v>
      </c>
      <c r="E20" s="14">
        <v>9</v>
      </c>
      <c r="F20">
        <v>17772</v>
      </c>
      <c r="I20" s="14" t="s">
        <v>1013</v>
      </c>
      <c r="J20">
        <v>31265</v>
      </c>
    </row>
    <row r="21" spans="1:10" x14ac:dyDescent="0.3">
      <c r="A21" s="14">
        <v>10</v>
      </c>
      <c r="B21" s="2">
        <v>4758411.1400000006</v>
      </c>
      <c r="E21" s="14">
        <v>10</v>
      </c>
      <c r="F21">
        <v>20805</v>
      </c>
      <c r="I21" s="14" t="s">
        <v>1015</v>
      </c>
      <c r="J21">
        <v>33220</v>
      </c>
    </row>
    <row r="22" spans="1:10" x14ac:dyDescent="0.3">
      <c r="A22" s="14">
        <v>11</v>
      </c>
      <c r="B22" s="2">
        <v>7147134.2800000021</v>
      </c>
      <c r="E22" s="14">
        <v>11</v>
      </c>
      <c r="F22">
        <v>24361</v>
      </c>
      <c r="I22" s="14" t="s">
        <v>1016</v>
      </c>
      <c r="J22">
        <v>38069</v>
      </c>
    </row>
    <row r="23" spans="1:10" x14ac:dyDescent="0.3">
      <c r="A23" s="14">
        <v>12</v>
      </c>
      <c r="B23" s="2">
        <v>3950463.8600000003</v>
      </c>
      <c r="E23" s="14">
        <v>12</v>
      </c>
      <c r="F23">
        <v>16158</v>
      </c>
      <c r="I23" s="14" t="s">
        <v>991</v>
      </c>
      <c r="J23">
        <v>251554</v>
      </c>
    </row>
    <row r="24" spans="1:10" x14ac:dyDescent="0.3">
      <c r="A24" s="14" t="s">
        <v>991</v>
      </c>
      <c r="B24" s="2">
        <v>62786866.710000008</v>
      </c>
      <c r="E24" s="14" t="s">
        <v>991</v>
      </c>
      <c r="F24">
        <v>251554</v>
      </c>
    </row>
    <row r="29" spans="1:10" x14ac:dyDescent="0.3">
      <c r="A29" s="13" t="s">
        <v>990</v>
      </c>
      <c r="B29" t="s">
        <v>992</v>
      </c>
      <c r="E29" s="13" t="s">
        <v>990</v>
      </c>
      <c r="F29" t="s">
        <v>993</v>
      </c>
    </row>
    <row r="30" spans="1:10" x14ac:dyDescent="0.3">
      <c r="A30" s="14" t="s">
        <v>63</v>
      </c>
      <c r="B30" s="2">
        <v>10824048.280000001</v>
      </c>
      <c r="E30" s="14" t="s">
        <v>63</v>
      </c>
      <c r="F30">
        <v>43589</v>
      </c>
    </row>
    <row r="31" spans="1:10" x14ac:dyDescent="0.3">
      <c r="A31" s="14" t="s">
        <v>9</v>
      </c>
      <c r="B31" s="2">
        <v>10155624.850000001</v>
      </c>
      <c r="E31" s="14" t="s">
        <v>9</v>
      </c>
      <c r="F31">
        <v>38631</v>
      </c>
    </row>
    <row r="32" spans="1:10" x14ac:dyDescent="0.3">
      <c r="A32" s="14" t="s">
        <v>30</v>
      </c>
      <c r="B32" s="2">
        <v>9966028.6400000006</v>
      </c>
      <c r="E32" s="14" t="s">
        <v>30</v>
      </c>
      <c r="F32">
        <v>41421</v>
      </c>
    </row>
    <row r="33" spans="1:6" x14ac:dyDescent="0.3">
      <c r="A33" s="14" t="s">
        <v>23</v>
      </c>
      <c r="B33" s="2">
        <v>10059315.919999998</v>
      </c>
      <c r="E33" s="14" t="s">
        <v>23</v>
      </c>
      <c r="F33">
        <v>39986</v>
      </c>
    </row>
    <row r="34" spans="1:6" x14ac:dyDescent="0.3">
      <c r="A34" s="14" t="s">
        <v>37</v>
      </c>
      <c r="B34" s="2">
        <v>11302138.41</v>
      </c>
      <c r="E34" s="14" t="s">
        <v>37</v>
      </c>
      <c r="F34">
        <v>44252</v>
      </c>
    </row>
    <row r="35" spans="1:6" x14ac:dyDescent="0.3">
      <c r="A35" s="14" t="s">
        <v>12</v>
      </c>
      <c r="B35" s="2">
        <v>9908070.4899999984</v>
      </c>
      <c r="E35" s="14" t="s">
        <v>12</v>
      </c>
      <c r="F35">
        <v>40691</v>
      </c>
    </row>
    <row r="36" spans="1:6" x14ac:dyDescent="0.3">
      <c r="A36" s="14" t="s">
        <v>60</v>
      </c>
      <c r="B36" s="2">
        <v>571640.12</v>
      </c>
      <c r="E36" s="14" t="s">
        <v>60</v>
      </c>
      <c r="F36">
        <v>2984</v>
      </c>
    </row>
    <row r="37" spans="1:6" x14ac:dyDescent="0.3">
      <c r="A37" s="14" t="s">
        <v>991</v>
      </c>
      <c r="B37" s="2">
        <v>62786866.709999986</v>
      </c>
      <c r="E37" s="14" t="s">
        <v>991</v>
      </c>
      <c r="F37">
        <v>251554</v>
      </c>
    </row>
    <row r="41" spans="1:6" x14ac:dyDescent="0.3">
      <c r="A41" s="13" t="s">
        <v>990</v>
      </c>
      <c r="B41" t="s">
        <v>1023</v>
      </c>
      <c r="C41" t="s">
        <v>1024</v>
      </c>
      <c r="D41" t="s">
        <v>1025</v>
      </c>
    </row>
    <row r="42" spans="1:6" x14ac:dyDescent="0.3">
      <c r="A42" s="14" t="s">
        <v>63</v>
      </c>
      <c r="B42">
        <v>501.02298850574715</v>
      </c>
      <c r="C42">
        <v>252.4225287356322</v>
      </c>
      <c r="D42" s="2">
        <v>124414.34804597702</v>
      </c>
    </row>
    <row r="43" spans="1:6" x14ac:dyDescent="0.3">
      <c r="A43" s="14" t="s">
        <v>9</v>
      </c>
      <c r="B43">
        <v>495.26923076923077</v>
      </c>
      <c r="C43">
        <v>257.77448717948732</v>
      </c>
      <c r="D43" s="2">
        <v>130200.31858974361</v>
      </c>
    </row>
    <row r="44" spans="1:6" x14ac:dyDescent="0.3">
      <c r="A44" s="14" t="s">
        <v>30</v>
      </c>
      <c r="B44">
        <v>505.13414634146341</v>
      </c>
      <c r="C44">
        <v>244.51621951219514</v>
      </c>
      <c r="D44" s="2">
        <v>121536.93463414635</v>
      </c>
    </row>
    <row r="45" spans="1:6" x14ac:dyDescent="0.3">
      <c r="A45" s="14" t="s">
        <v>23</v>
      </c>
      <c r="B45">
        <v>506.15189873417722</v>
      </c>
      <c r="C45">
        <v>250.85987341772153</v>
      </c>
      <c r="D45" s="2">
        <v>127333.11291139238</v>
      </c>
    </row>
    <row r="46" spans="1:6" x14ac:dyDescent="0.3">
      <c r="A46" s="14" t="s">
        <v>37</v>
      </c>
      <c r="B46">
        <v>560.15189873417717</v>
      </c>
      <c r="C46">
        <v>245.76430379746827</v>
      </c>
      <c r="D46" s="2">
        <v>143065.04316455696</v>
      </c>
    </row>
    <row r="47" spans="1:6" x14ac:dyDescent="0.3">
      <c r="A47" s="14" t="s">
        <v>12</v>
      </c>
      <c r="B47">
        <v>452.12222222222221</v>
      </c>
      <c r="C47">
        <v>263.45711111111109</v>
      </c>
      <c r="D47" s="2">
        <v>110089.6721111111</v>
      </c>
    </row>
    <row r="48" spans="1:6" x14ac:dyDescent="0.3">
      <c r="A48" s="14" t="s">
        <v>60</v>
      </c>
      <c r="B48">
        <v>596.79999999999995</v>
      </c>
      <c r="C48">
        <v>216.75399999999999</v>
      </c>
      <c r="D48" s="2">
        <v>114328.024</v>
      </c>
    </row>
    <row r="49" spans="1:4" x14ac:dyDescent="0.3">
      <c r="A49" s="14" t="s">
        <v>991</v>
      </c>
      <c r="B49">
        <v>503.108</v>
      </c>
      <c r="C49">
        <v>252.29143999999997</v>
      </c>
      <c r="D49" s="2">
        <v>125573.73341999999</v>
      </c>
    </row>
    <row r="53" spans="1:4" x14ac:dyDescent="0.3">
      <c r="A53" s="13" t="s">
        <v>990</v>
      </c>
      <c r="B53" t="s">
        <v>1023</v>
      </c>
      <c r="C53" t="s">
        <v>1024</v>
      </c>
      <c r="D53" t="s">
        <v>1025</v>
      </c>
    </row>
    <row r="54" spans="1:4" x14ac:dyDescent="0.3">
      <c r="A54" s="14">
        <v>1</v>
      </c>
      <c r="B54">
        <v>500.14285714285717</v>
      </c>
      <c r="C54">
        <v>282.74285714285713</v>
      </c>
      <c r="D54" s="2">
        <v>133663.92619047617</v>
      </c>
    </row>
    <row r="55" spans="1:4" x14ac:dyDescent="0.3">
      <c r="A55" s="14">
        <v>2</v>
      </c>
      <c r="B55">
        <v>503.25714285714287</v>
      </c>
      <c r="C55">
        <v>253.25599999999997</v>
      </c>
      <c r="D55" s="2">
        <v>123505.43228571428</v>
      </c>
    </row>
    <row r="56" spans="1:4" x14ac:dyDescent="0.3">
      <c r="A56" s="14">
        <v>3</v>
      </c>
      <c r="B56">
        <v>486.89473684210526</v>
      </c>
      <c r="C56">
        <v>288.56526315789472</v>
      </c>
      <c r="D56" s="2">
        <v>143347.45342105263</v>
      </c>
    </row>
    <row r="57" spans="1:4" x14ac:dyDescent="0.3">
      <c r="A57" s="14">
        <v>4</v>
      </c>
      <c r="B57">
        <v>554.38297872340422</v>
      </c>
      <c r="C57">
        <v>254.98212765957447</v>
      </c>
      <c r="D57" s="2">
        <v>128211.37042553192</v>
      </c>
    </row>
    <row r="58" spans="1:4" x14ac:dyDescent="0.3">
      <c r="A58" s="14">
        <v>5</v>
      </c>
      <c r="B58">
        <v>520.27083333333337</v>
      </c>
      <c r="C58">
        <v>221.26354166666658</v>
      </c>
      <c r="D58" s="2">
        <v>118723.94729166669</v>
      </c>
    </row>
    <row r="59" spans="1:4" x14ac:dyDescent="0.3">
      <c r="A59" s="14">
        <v>6</v>
      </c>
      <c r="B59">
        <v>556.02777777777783</v>
      </c>
      <c r="C59">
        <v>235.20472222222224</v>
      </c>
      <c r="D59" s="2">
        <v>125150.75972222224</v>
      </c>
    </row>
    <row r="60" spans="1:4" x14ac:dyDescent="0.3">
      <c r="A60" s="14">
        <v>7</v>
      </c>
      <c r="B60">
        <v>492.82608695652175</v>
      </c>
      <c r="C60">
        <v>229.97456521739133</v>
      </c>
      <c r="D60" s="2">
        <v>120966.30065217392</v>
      </c>
    </row>
    <row r="61" spans="1:4" x14ac:dyDescent="0.3">
      <c r="A61" s="14">
        <v>8</v>
      </c>
      <c r="B61">
        <v>527.31707317073176</v>
      </c>
      <c r="C61">
        <v>248.5141463414634</v>
      </c>
      <c r="D61" s="2">
        <v>129232.55536585365</v>
      </c>
    </row>
    <row r="62" spans="1:4" x14ac:dyDescent="0.3">
      <c r="A62" s="14">
        <v>9</v>
      </c>
      <c r="B62">
        <v>413.30232558139534</v>
      </c>
      <c r="C62">
        <v>260.6253488372094</v>
      </c>
      <c r="D62" s="2">
        <v>103581.00790697674</v>
      </c>
    </row>
    <row r="63" spans="1:4" x14ac:dyDescent="0.3">
      <c r="A63" s="14">
        <v>10</v>
      </c>
      <c r="B63">
        <v>547.5</v>
      </c>
      <c r="C63">
        <v>214.74631578947367</v>
      </c>
      <c r="D63" s="2">
        <v>125221.34578947369</v>
      </c>
    </row>
    <row r="64" spans="1:4" x14ac:dyDescent="0.3">
      <c r="A64" s="14">
        <v>11</v>
      </c>
      <c r="B64">
        <v>541.35555555555561</v>
      </c>
      <c r="C64">
        <v>296.20711111111109</v>
      </c>
      <c r="D64" s="2">
        <v>158825.20622222227</v>
      </c>
    </row>
    <row r="65" spans="1:4" x14ac:dyDescent="0.3">
      <c r="A65" s="14">
        <v>12</v>
      </c>
      <c r="B65">
        <v>394.09756097560978</v>
      </c>
      <c r="C65">
        <v>241.57121951219509</v>
      </c>
      <c r="D65" s="2">
        <v>96352.777073170742</v>
      </c>
    </row>
    <row r="66" spans="1:4" x14ac:dyDescent="0.3">
      <c r="A66" s="14" t="s">
        <v>991</v>
      </c>
      <c r="B66">
        <v>503.108</v>
      </c>
      <c r="C66">
        <v>252.29143999999999</v>
      </c>
      <c r="D66" s="2">
        <v>125573.73342000003</v>
      </c>
    </row>
    <row r="70" spans="1:4" x14ac:dyDescent="0.3">
      <c r="A70" s="13" t="s">
        <v>990</v>
      </c>
      <c r="B70" t="s">
        <v>1023</v>
      </c>
      <c r="C70" t="s">
        <v>1024</v>
      </c>
      <c r="D70" t="s">
        <v>1025</v>
      </c>
    </row>
    <row r="71" spans="1:4" x14ac:dyDescent="0.3">
      <c r="A71" s="14" t="s">
        <v>1014</v>
      </c>
      <c r="B71">
        <v>530.65079365079362</v>
      </c>
      <c r="C71">
        <v>254.58158730158735</v>
      </c>
      <c r="D71" s="2">
        <v>140277.67984126983</v>
      </c>
    </row>
    <row r="72" spans="1:4" x14ac:dyDescent="0.3">
      <c r="A72" s="14" t="s">
        <v>1018</v>
      </c>
      <c r="B72">
        <v>465.15662650602411</v>
      </c>
      <c r="C72">
        <v>260.98228915662651</v>
      </c>
      <c r="D72" s="2">
        <v>113177.50265060242</v>
      </c>
    </row>
    <row r="73" spans="1:4" x14ac:dyDescent="0.3">
      <c r="A73" s="14" t="s">
        <v>1019</v>
      </c>
      <c r="B73">
        <v>519.02597402597405</v>
      </c>
      <c r="C73">
        <v>275.161948051948</v>
      </c>
      <c r="D73" s="2">
        <v>150932.81051948055</v>
      </c>
    </row>
    <row r="74" spans="1:4" x14ac:dyDescent="0.3">
      <c r="A74" s="14" t="s">
        <v>1017</v>
      </c>
      <c r="B74">
        <v>513.83333333333337</v>
      </c>
      <c r="C74">
        <v>261.68388888888876</v>
      </c>
      <c r="D74" s="2">
        <v>134584.65708333332</v>
      </c>
    </row>
    <row r="75" spans="1:4" x14ac:dyDescent="0.3">
      <c r="A75" s="14" t="s">
        <v>1013</v>
      </c>
      <c r="B75">
        <v>488.515625</v>
      </c>
      <c r="C75">
        <v>246.76343749999998</v>
      </c>
      <c r="D75" s="2">
        <v>112534.41046874999</v>
      </c>
    </row>
    <row r="76" spans="1:4" x14ac:dyDescent="0.3">
      <c r="A76" s="14" t="s">
        <v>1015</v>
      </c>
      <c r="B76">
        <v>527.30158730158735</v>
      </c>
      <c r="C76">
        <v>220.41158730158739</v>
      </c>
      <c r="D76" s="2">
        <v>113172.06761904762</v>
      </c>
    </row>
    <row r="77" spans="1:4" x14ac:dyDescent="0.3">
      <c r="A77" s="14" t="s">
        <v>1016</v>
      </c>
      <c r="B77">
        <v>488.06410256410254</v>
      </c>
      <c r="C77">
        <v>240.23141025641033</v>
      </c>
      <c r="D77" s="2">
        <v>114252.25525641031</v>
      </c>
    </row>
    <row r="78" spans="1:4" x14ac:dyDescent="0.3">
      <c r="A78" s="14" t="s">
        <v>991</v>
      </c>
      <c r="B78">
        <v>503.108</v>
      </c>
      <c r="C78">
        <v>252.29143999999999</v>
      </c>
      <c r="D78" s="2">
        <v>125573.73341999998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998CE-DC2E-4552-9D31-E0328C44594B}">
  <dimension ref="A1:G13"/>
  <sheetViews>
    <sheetView workbookViewId="0">
      <selection activeCell="E24" sqref="E24"/>
    </sheetView>
  </sheetViews>
  <sheetFormatPr defaultRowHeight="14.4" x14ac:dyDescent="0.3"/>
  <cols>
    <col min="1" max="1" width="13.33203125" customWidth="1"/>
    <col min="2" max="3" width="15.5546875" customWidth="1"/>
    <col min="5" max="5" width="15.109375" customWidth="1"/>
    <col min="6" max="6" width="15.88671875" customWidth="1"/>
  </cols>
  <sheetData>
    <row r="1" spans="1:7" x14ac:dyDescent="0.3">
      <c r="A1" s="3" t="s">
        <v>0</v>
      </c>
      <c r="B1" s="4" t="s">
        <v>2</v>
      </c>
      <c r="C1" s="11"/>
      <c r="E1" s="3" t="s">
        <v>0</v>
      </c>
      <c r="F1" s="4" t="s">
        <v>2</v>
      </c>
    </row>
    <row r="2" spans="1:7" x14ac:dyDescent="0.3">
      <c r="A2" s="5" t="s">
        <v>68</v>
      </c>
      <c r="B2" s="6" t="s">
        <v>23</v>
      </c>
      <c r="C2" s="12" t="s">
        <v>987</v>
      </c>
      <c r="E2" s="5" t="s">
        <v>116</v>
      </c>
      <c r="F2" s="6" t="s">
        <v>9</v>
      </c>
      <c r="G2" s="12" t="s">
        <v>987</v>
      </c>
    </row>
    <row r="3" spans="1:7" x14ac:dyDescent="0.3">
      <c r="A3" s="7" t="s">
        <v>128</v>
      </c>
      <c r="B3" s="8" t="s">
        <v>12</v>
      </c>
      <c r="C3" s="12" t="s">
        <v>987</v>
      </c>
      <c r="E3" s="7" t="s">
        <v>312</v>
      </c>
      <c r="F3" s="8" t="s">
        <v>9</v>
      </c>
      <c r="G3" s="12" t="s">
        <v>987</v>
      </c>
    </row>
    <row r="4" spans="1:7" x14ac:dyDescent="0.3">
      <c r="A4" s="5" t="s">
        <v>154</v>
      </c>
      <c r="B4" s="6" t="s">
        <v>37</v>
      </c>
      <c r="C4" s="12" t="s">
        <v>987</v>
      </c>
      <c r="E4" s="5" t="s">
        <v>327</v>
      </c>
      <c r="F4" s="6" t="s">
        <v>12</v>
      </c>
      <c r="G4" s="12" t="s">
        <v>987</v>
      </c>
    </row>
    <row r="5" spans="1:7" x14ac:dyDescent="0.3">
      <c r="A5" s="7" t="s">
        <v>429</v>
      </c>
      <c r="B5" s="8" t="s">
        <v>37</v>
      </c>
      <c r="C5" s="12" t="s">
        <v>987</v>
      </c>
      <c r="E5" s="7" t="s">
        <v>368</v>
      </c>
      <c r="F5" s="8" t="s">
        <v>63</v>
      </c>
      <c r="G5" s="12" t="s">
        <v>987</v>
      </c>
    </row>
    <row r="6" spans="1:7" x14ac:dyDescent="0.3">
      <c r="A6" s="5" t="s">
        <v>485</v>
      </c>
      <c r="B6" s="6" t="s">
        <v>37</v>
      </c>
      <c r="C6" s="12" t="s">
        <v>987</v>
      </c>
      <c r="E6" s="5" t="s">
        <v>435</v>
      </c>
      <c r="F6" s="6" t="s">
        <v>63</v>
      </c>
      <c r="G6" s="12" t="s">
        <v>987</v>
      </c>
    </row>
    <row r="7" spans="1:7" x14ac:dyDescent="0.3">
      <c r="A7" s="7" t="s">
        <v>519</v>
      </c>
      <c r="B7" s="8" t="s">
        <v>37</v>
      </c>
      <c r="C7" s="12" t="s">
        <v>987</v>
      </c>
      <c r="E7" s="7" t="s">
        <v>485</v>
      </c>
      <c r="F7" s="8" t="s">
        <v>37</v>
      </c>
      <c r="G7" s="12" t="s">
        <v>987</v>
      </c>
    </row>
    <row r="8" spans="1:7" x14ac:dyDescent="0.3">
      <c r="A8" s="5" t="s">
        <v>596</v>
      </c>
      <c r="B8" s="6" t="s">
        <v>9</v>
      </c>
      <c r="C8" s="12" t="s">
        <v>987</v>
      </c>
      <c r="E8" s="5" t="s">
        <v>531</v>
      </c>
      <c r="F8" s="6" t="s">
        <v>23</v>
      </c>
      <c r="G8" s="12" t="s">
        <v>987</v>
      </c>
    </row>
    <row r="9" spans="1:7" x14ac:dyDescent="0.3">
      <c r="A9" s="7" t="s">
        <v>671</v>
      </c>
      <c r="B9" s="8" t="s">
        <v>23</v>
      </c>
      <c r="C9" t="s">
        <v>987</v>
      </c>
      <c r="E9" s="7" t="s">
        <v>758</v>
      </c>
      <c r="F9" s="8" t="s">
        <v>30</v>
      </c>
    </row>
    <row r="10" spans="1:7" x14ac:dyDescent="0.3">
      <c r="A10" s="5" t="s">
        <v>693</v>
      </c>
      <c r="B10" s="6" t="s">
        <v>37</v>
      </c>
      <c r="C10" s="12" t="s">
        <v>987</v>
      </c>
      <c r="E10" s="5" t="s">
        <v>832</v>
      </c>
      <c r="F10" s="6" t="s">
        <v>23</v>
      </c>
      <c r="G10" s="12" t="s">
        <v>987</v>
      </c>
    </row>
    <row r="11" spans="1:7" x14ac:dyDescent="0.3">
      <c r="A11" s="7" t="s">
        <v>885</v>
      </c>
      <c r="B11" s="8" t="s">
        <v>9</v>
      </c>
      <c r="C11" s="12" t="s">
        <v>987</v>
      </c>
      <c r="E11" s="7" t="s">
        <v>856</v>
      </c>
      <c r="F11" s="8" t="s">
        <v>9</v>
      </c>
      <c r="G11" s="12" t="s">
        <v>987</v>
      </c>
    </row>
    <row r="13" spans="1:7" x14ac:dyDescent="0.3">
      <c r="A13" s="4" t="s">
        <v>3</v>
      </c>
      <c r="E13" s="9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532438A-A37A-4D93-9ABF-12221FC9CA8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Product_Performance_Data</vt:lpstr>
      <vt:lpstr>Insights</vt:lpstr>
      <vt:lpstr>Pivot Tables</vt:lpstr>
      <vt:lpstr>Rough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Vamsi Krishna</dc:creator>
  <cp:lastModifiedBy>Vamsi Krishna</cp:lastModifiedBy>
  <dcterms:created xsi:type="dcterms:W3CDTF">2025-09-17T14:40:25Z</dcterms:created>
  <dcterms:modified xsi:type="dcterms:W3CDTF">2025-10-08T19:44:47Z</dcterms:modified>
</cp:coreProperties>
</file>